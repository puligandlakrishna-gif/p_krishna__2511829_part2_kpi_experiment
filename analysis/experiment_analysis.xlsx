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_data" sheetId="1" state="visible" r:id="rId3"/>
    <sheet name="data_quality_checks" sheetId="2" state="visible" r:id="rId4"/>
    <sheet name="cleaned_data" sheetId="3" state="visible" r:id="rId5"/>
    <sheet name="segment_balance" sheetId="4" state="visible" r:id="rId6"/>
    <sheet name="metrics_summary" sheetId="5" state="visible" r:id="rId7"/>
    <sheet name="segment_metrics" sheetId="6" state="visible" r:id="rId8"/>
    <sheet name="hypothesis_testin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<sst xmlns="http://schemas.openxmlformats.org/spreadsheetml/2006/main" count="17083" uniqueCount="1536">
  <si>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</si>
  <si>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</si>
  <si>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</si>
  <si>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</si>
  <si>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</si>
  <si>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</si>
  <si>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</si>
  <si>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</si>
  <si>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</si>
  <si>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</si>
  <si>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</si>
  <si>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</si>
  <si>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</si>
  <si>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</si>
  <si>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</si>
  <si>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</si>
  <si>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</si>
  <si>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</si>
  <si>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</si>
  <si>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</si>
  <si>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</si>
  <si>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</si>
  <si>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</si>
  <si>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</si>
  <si>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</si>
  <si>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</si>
  <si>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</si>
  <si>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</si>
  <si>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</si>
  <si>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</si>
  <si>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</si>
  <si>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</si>
  <si>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</si>
  <si>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</si>
  <si>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</si>
  <si>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</si>
  <si>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</si>
  <si>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</si>
  <si>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</si>
  <si>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</si>
  <si>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</si>
  <si>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</si>
  <si>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</si>
  <si>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</si>
  <si>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</si>
  <si>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</si>
  <si>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</si>
  <si>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</si>
  <si>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</si>
  <si>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</si>
  <si>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</si>
  <si>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</si>
  <si>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</si>
  <si>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</si>
  <si>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</si>
  <si>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</si>
  <si>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</si>
  <si>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</si>
  <si>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</si>
  <si>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</si>
  <si>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</si>
  <si>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</si>
  <si>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</si>
  <si>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</si>
  <si>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</si>
  <si>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</si>
  <si>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</si>
  <si>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</si>
  <si>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</si>
  <si>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</si>
  <si>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</si>
  <si>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</si>
  <si>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</si>
  <si>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</si>
  <si>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</si>
  <si>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</si>
  <si>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</si>
  <si>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</si>
  <si>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</si>
  <si>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</si>
  <si>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</si>
  <si>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</si>
  <si>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</si>
  <si>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</si>
  <si>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</si>
  <si>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</si>
  <si>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</si>
  <si>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</si>
  <si>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</si>
  <si>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</si>
  <si>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</si>
  <si>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</si>
  <si>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</si>
  <si>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</si>
  <si>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</si>
  <si>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</si>
  <si>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</si>
  <si>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</si>
  <si>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</si>
  <si>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</si>
  <si>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</si>
  <si>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</si>
  <si>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</si>
  <si>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</si>
  <si>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</si>
  <si>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</si>
  <si>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</si>
  <si>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</si>
  <si>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</si>
  <si>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</si>
  <si>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</si>
  <si>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</si>
  <si>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</si>
  <si>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</si>
  <si>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</si>
  <si>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</si>
  <si>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</si>
  <si>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</si>
  <si>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</si>
  <si>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</si>
  <si>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</si>
  <si>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</si>
  <si>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</si>
  <si>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</si>
  <si>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</si>
  <si>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</si>
  <si>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</si>
  <si>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</si>
  <si>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</si>
  <si>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</si>
  <si>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</si>
  <si>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</si>
  <si>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</si>
  <si>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</si>
  <si>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</si>
  <si>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</si>
  <si>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</si>
  <si>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</si>
  <si>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</si>
  <si>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</si>
  <si>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</si>
  <si>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</si>
  <si>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</si>
  <si>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</si>
  <si>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</si>
  <si>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</si>
  <si>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</si>
  <si>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</si>
  <si>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</si>
  <si>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</si>
  <si>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</si>
  <si>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</si>
  <si>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</si>
  <si>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</si>
  <si>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</si>
  <si>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</si>
  <si>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</si>
  <si>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</si>
  <si>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</si>
  <si>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</si>
  <si>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</si>
  <si>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</si>
  <si>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</si>
  <si>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</si>
  <si>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</si>
  <si>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</si>
  <si>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</si>
  <si>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</si>
  <si>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</si>
  <si>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</si>
  <si>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</si>
  <si>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</si>
  <si>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</si>
  <si>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</si>
  <si>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</si>
  <si>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</si>
  <si>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</si>
  <si>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</si>
  <si>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</si>
  <si>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</si>
  <si>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</si>
  <si>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</si>
  <si>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</si>
  <si>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</si>
  <si>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</si>
  <si>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</si>
  <si>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</si>
  <si>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</si>
  <si>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</si>
  <si>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</si>
  <si>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</si>
  <si>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</si>
  <si>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</si>
  <si>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</si>
  <si>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</si>
  <si>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</si>
  <si>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</si>
  <si>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</si>
  <si>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</si>
  <si>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</si>
  <si>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</si>
  <si>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</si>
  <si>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</si>
  <si>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</si>
  <si>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</si>
  <si>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</si>
  <si>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</si>
  <si>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</si>
  <si>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</si>
  <si>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</si>
  <si>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</si>
  <si>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</si>
  <si>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</si>
  <si>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</si>
  <si>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</si>
  <si>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</si>
  <si>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</si>
  <si>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</si>
  <si>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</si>
  <si>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</si>
  <si>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</si>
  <si>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</si>
  <si>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</si>
  <si>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</si>
  <si>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</si>
  <si>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</si>
  <si>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</si>
  <si>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</si>
  <si>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</si>
  <si>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</si>
  <si>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</si>
  <si>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</si>
  <si>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</si>
  <si>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</si>
  <si>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</si>
  <si>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</si>
  <si>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</si>
  <si>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</si>
  <si>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</si>
  <si>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</si>
  <si>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</si>
  <si>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</si>
  <si>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</si>
  <si>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</si>
  <si>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</si>
  <si>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</si>
  <si>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</si>
  <si>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</si>
  <si>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</si>
  <si>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</si>
  <si>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</si>
  <si>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</si>
  <si>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</si>
  <si>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</si>
  <si>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</si>
  <si>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</si>
  <si>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</si>
  <si>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</si>
  <si>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</si>
  <si>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</si>
  <si>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</si>
  <si>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</si>
  <si>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</si>
  <si>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</si>
  <si>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</si>
  <si>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</si>
  <si>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</si>
  <si>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</si>
  <si>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</si>
  <si>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</si>
  <si>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</si>
  <si>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</si>
  <si>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</si>
  <si>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</si>
  <si>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</si>
  <si>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</si>
  <si>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</si>
  <si>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</si>
  <si>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</si>
  <si>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</si>
  <si>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</si>
  <si>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</si>
  <si>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</si>
  <si>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</si>
  <si>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</si>
  <si>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</si>
  <si>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</si>
  <si>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</si>
  <si>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</si>
  <si>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</si>
  <si>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</si>
  <si>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</si>
  <si>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</si>
  <si>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</si>
  <si>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</si>
  <si>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</si>
  <si>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</si>
  <si>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</si>
  <si>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</si>
  <si>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</si>
  <si>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</si>
  <si>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</si>
  <si>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</si>
  <si>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</si>
  <si>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</si>
  <si>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</si>
  <si>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</si>
  <si>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</si>
  <si>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</si>
  <si>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</si>
  <si>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</si>
  <si>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</si>
  <si>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</si>
  <si>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</si>
  <si>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</si>
  <si>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</si>
  <si>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</si>
  <si>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</si>
  <si>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</si>
  <si>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</si>
  <si>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</si>
  <si>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</si>
  <si>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</si>
  <si>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</si>
  <si>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</si>
  <si>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</si>
  <si>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</si>
  <si>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</si>
  <si>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</si>
  <si>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</si>
  <si>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</si>
  <si>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</si>
  <si>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</si>
  <si>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</si>
  <si>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</si>
  <si>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</si>
  <si>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</si>
  <si>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</si>
  <si>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</si>
  <si>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</si>
  <si>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</si>
  <si>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</si>
  <si>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</si>
  <si>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</si>
  <si>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</si>
  <si>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</si>
  <si>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</si>
  <si>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</si>
  <si>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</si>
  <si>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</si>
  <si>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</si>
  <si>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</si>
  <si>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</si>
  <si>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</si>
  <si>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</si>
  <si>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</si>
  <si>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</si>
  <si>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</si>
  <si>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</si>
  <si>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</si>
  <si>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</si>
  <si>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</si>
  <si>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</si>
  <si>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</si>
  <si>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</si>
  <si>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</si>
  <si>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</si>
  <si>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</si>
  <si>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</si>
  <si>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</si>
  <si>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</si>
  <si>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</si>
  <si>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</si>
  <si>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</si>
  <si>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</si>
  <si>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</si>
  <si>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</si>
  <si>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</si>
  <si>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</si>
  <si>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</si>
  <si>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</si>
  <si>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</si>
  <si>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</si>
  <si>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</si>
  <si>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</si>
  <si>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</si>
  <si>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</si>
  <si>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</si>
  <si>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</si>
  <si>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</si>
  <si>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</si>
  <si>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</si>
  <si>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</si>
  <si>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</si>
  <si>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</si>
  <si>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</si>
  <si>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</si>
  <si>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</si>
  <si>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</si>
  <si>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</si>
  <si>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</si>
  <si>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</si>
  <si>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</si>
  <si>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</si>
  <si>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</si>
  <si>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</si>
  <si>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</si>
  <si>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</si>
  <si>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</si>
  <si>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</si>
  <si>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</si>
  <si>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</si>
  <si>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</si>
  <si>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</si>
  <si>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</si>
  <si>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</si>
  <si>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</si>
  <si>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</si>
  <si>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</si>
  <si>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</si>
  <si>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</si>
  <si>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</si>
  <si>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</si>
  <si>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</si>
  <si>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</si>
  <si>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</si>
  <si>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</si>
  <si>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</si>
  <si>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</si>
  <si>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</si>
  <si>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</si>
  <si>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</si>
  <si>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</si>
  <si>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</si>
  <si>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</si>
  <si>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</si>
  <si>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</si>
  <si>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</si>
  <si>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</si>
  <si>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</si>
  <si>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</si>
  <si>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</si>
  <si>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</si>
  <si>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</si>
  <si>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</si>
  <si>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</si>
  <si>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</si>
  <si>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</si>
  <si>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</si>
  <si>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</si>
  <si>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</si>
  <si>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</si>
  <si>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</si>
  <si>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</si>
  <si>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</si>
  <si>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</si>
  <si>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</si>
  <si>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</si>
  <si>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</si>
  <si>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</si>
  <si>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</si>
  <si>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</si>
  <si>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</si>
  <si>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</si>
  <si>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</si>
  <si>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</si>
  <si>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</si>
  <si>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</si>
  <si>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</si>
  <si>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</si>
  <si>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</si>
  <si>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</si>
  <si>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</si>
  <si>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</si>
  <si>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</si>
  <si>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</si>
  <si>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</si>
  <si>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</si>
  <si>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</si>
  <si>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</si>
  <si>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</si>
  <si>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</si>
  <si>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</si>
  <si>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</si>
  <si>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</si>
  <si>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</si>
  <si>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</si>
  <si>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</si>
  <si>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</si>
  <si>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</si>
  <si>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</si>
  <si>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</si>
  <si>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</si>
  <si>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</si>
  <si>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</si>
  <si>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</si>
  <si>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</si>
  <si>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</si>
  <si>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</si>
  <si>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</si>
  <si>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</si>
  <si>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</si>
  <si>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</si>
  <si>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</si>
  <si>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</si>
  <si>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</si>
  <si>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</si>
  <si>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</si>
  <si>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</si>
  <si>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</si>
  <si>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</si>
  <si>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</si>
  <si>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</si>
  <si>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</si>
  <si>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</si>
  <si>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</si>
  <si>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</si>
  <si>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</si>
  <si>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</si>
  <si>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</si>
  <si>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</si>
  <si>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</si>
  <si>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</si>
  <si>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</si>
  <si>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</si>
  <si>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</si>
  <si>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</si>
  <si>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</si>
  <si>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</si>
  <si>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</si>
  <si>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</si>
  <si>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</si>
  <si>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</si>
  <si>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</si>
  <si>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</si>
  <si>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</si>
  <si>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</si>
  <si>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</si>
  <si>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</si>
  <si>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</si>
  <si>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</si>
  <si>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</si>
  <si>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</si>
  <si>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</si>
  <si>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</si>
  <si>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</si>
  <si>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</si>
  <si>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</si>
  <si>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</si>
  <si>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</si>
  <si>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</si>
  <si>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</si>
  <si>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</si>
  <si>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</si>
  <si>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</si>
  <si>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</si>
  <si>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</si>
  <si>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</si>
  <si>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</si>
  <si>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</si>
  <si>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</si>
  <si>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</si>
  <si>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</si>
  <si>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</si>
  <si>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</si>
  <si>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</si>
  <si>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</si>
  <si>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</si>
  <si>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</si>
  <si>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</si>
  <si>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</si>
  <si>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</si>
  <si>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</si>
  <si>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</si>
  <si>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</si>
  <si>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</si>
  <si>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</si>
  <si>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</si>
  <si>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</si>
  <si>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</si>
  <si>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</si>
  <si>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</si>
  <si>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</si>
  <si>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</si>
  <si>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</si>
  <si>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</si>
  <si>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</si>
  <si>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</si>
  <si>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</si>
  <si>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</si>
  <si>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</si>
  <si>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</si>
  <si>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</si>
  <si>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</si>
  <si>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</si>
  <si>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</si>
  <si>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</si>
  <si>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</si>
  <si>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</si>
  <si>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</si>
  <si>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</si>
  <si>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</si>
  <si>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</si>
  <si>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</si>
  <si>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</si>
  <si>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</si>
  <si>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</si>
  <si>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</si>
  <si>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</si>
  <si>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</si>
  <si>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</si>
  <si>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</si>
  <si>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</si>
  <si>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</si>
  <si>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</si>
  <si>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</si>
  <si>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</si>
  <si>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</si>
  <si>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</si>
  <si>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</si>
  <si>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</si>
  <si>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</si>
  <si>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</si>
  <si>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</si>
  <si>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</si>
  <si>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</si>
  <si>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</si>
  <si>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</si>
  <si>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</si>
  <si>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</si>
  <si>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</si>
  <si>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</si>
  <si>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</si>
  <si>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</si>
  <si>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</si>
  <si>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</si>
  <si>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</si>
  <si>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</si>
  <si>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</si>
  <si>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</si>
  <si>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</si>
  <si>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</si>
  <si>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</si>
  <si>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</si>
  <si>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</si>
  <si>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</si>
  <si>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</si>
  <si>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</si>
  <si>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</si>
  <si>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</si>
  <si>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</si>
  <si>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</si>
  <si>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</si>
  <si>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</si>
  <si>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</si>
  <si>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</si>
  <si>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</si>
  <si>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</si>
  <si>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</si>
  <si>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</si>
  <si>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</si>
  <si>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</si>
  <si>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</si>
  <si>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</si>
  <si>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</si>
  <si>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</si>
  <si>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</si>
  <si>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</si>
  <si>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</si>
  <si>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</si>
  <si>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</si>
  <si>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</si>
  <si>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</si>
  <si>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</si>
  <si>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</si>
  <si>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</si>
  <si>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</si>
  <si>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</si>
  <si>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</si>
  <si>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</si>
  <si>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</si>
  <si>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</si>
  <si>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</si>
  <si>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</si>
  <si>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</si>
  <si>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</si>
  <si>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</si>
  <si>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</si>
  <si>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</si>
  <si>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</si>
  <si>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</si>
  <si>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</si>
  <si>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</si>
  <si>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</si>
  <si>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</si>
  <si>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</si>
  <si>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</si>
  <si>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</si>
  <si>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</si>
  <si>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</si>
  <si>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</si>
  <si>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</si>
  <si>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</si>
  <si>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</si>
  <si>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</si>
  <si>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</si>
  <si>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</si>
  <si>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</si>
  <si>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</si>
  <si>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</si>
  <si>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</si>
  <si>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</si>
  <si>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</si>
  <si>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</si>
  <si>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</si>
  <si>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</si>
  <si>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</si>
  <si>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</si>
  <si>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</si>
  <si>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</si>
  <si>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</si>
  <si>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</si>
  <si>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</si>
  <si>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</si>
  <si>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</si>
  <si>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</si>
  <si>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</si>
  <si>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</si>
  <si>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</si>
  <si>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</si>
  <si>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</si>
  <si>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</si>
  <si>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</si>
  <si>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</si>
  <si>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</si>
  <si>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</si>
  <si>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</si>
  <si>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</si>
  <si>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</si>
  <si>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</si>
  <si>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</si>
  <si>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</si>
  <si>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</si>
  <si>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</si>
  <si>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</si>
  <si>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</si>
  <si>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</si>
  <si>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</si>
  <si>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</si>
  <si>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</si>
  <si>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</si>
  <si>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</si>
  <si>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</si>
  <si>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</si>
  <si>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</si>
  <si>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</si>
  <si>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</si>
  <si>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</si>
  <si>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</si>
  <si>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</si>
  <si>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</si>
  <si>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</si>
  <si>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</si>
  <si>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</si>
  <si>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</si>
  <si>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</si>
  <si>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</si>
  <si>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</si>
  <si>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</si>
  <si>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</si>
  <si>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</si>
  <si>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</si>
  <si>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</si>
  <si>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</si>
  <si>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</si>
  <si>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</si>
  <si>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</si>
  <si>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</si>
  <si>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</si>
  <si>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</si>
  <si>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</si>
  <si>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</si>
  <si>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</si>
  <si>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</si>
  <si>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</si>
  <si>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</si>
  <si>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</si>
  <si>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</si>
  <si>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</si>
  <si>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</si>
  <si>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</si>
  <si>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</si>
  <si>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</si>
  <si>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</si>
  <si>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</si>
  <si>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</si>
  <si>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</si>
  <si>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</si>
  <si>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</si>
  <si>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</si>
  <si>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</si>
  <si>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</si>
  <si>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</si>
  <si>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</si>
  <si>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</si>
  <si>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</si>
  <si>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</si>
  <si>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</si>
  <si>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</si>
  <si>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</si>
  <si>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</si>
  <si>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</si>
  <si>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</si>
  <si>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</si>
  <si>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</si>
  <si>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</si>
  <si>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</si>
  <si>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</si>
  <si>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</si>
  <si>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</si>
  <si>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</si>
  <si>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</si>
  <si>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</si>
  <si>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</si>
  <si>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</si>
  <si>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</si>
  <si>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</si>
  <si>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</si>
  <si>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</si>
  <si>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</si>
  <si>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</si>
  <si>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</si>
  <si>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</si>
  <si>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</si>
  <si>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</si>
  <si>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</si>
  <si>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</si>
  <si>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</si>
  <si>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</si>
  <si>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</si>
  <si>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</si>
  <si>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</si>
  <si>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</si>
  <si>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</si>
  <si>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</si>
  <si>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</si>
  <si>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</si>
  <si>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</si>
  <si>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</si>
  <si>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</si>
  <si>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</si>
  <si>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</si>
  <si>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</si>
  <si>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</si>
  <si>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</si>
  <si>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</si>
  <si>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</si>
  <si>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</si>
  <si>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</si>
  <si>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</si>
  <si>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</si>
  <si>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</si>
  <si>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</si>
  <si>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</si>
  <si>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</si>
  <si>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</si>
  <si>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</si>
  <si>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</si>
  <si>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</si>
  <si>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</si>
  <si>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</si>
  <si>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</si>
  <si>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</si>
  <si>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</si>
  <si>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</si>
  <si>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</si>
  <si>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</si>
  <si>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</si>
  <si>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</si>
  <si>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</si>
  <si>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</si>
  <si>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</si>
  <si>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</si>
  <si>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</si>
  <si>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</si>
  <si>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</si>
  <si>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</si>
  <si>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</si>
  <si>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</si>
  <si>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</si>
  <si>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</si>
  <si>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</si>
  <si>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</si>
  <si>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</si>
  <si>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</si>
  <si>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</si>
  <si>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</si>
  <si>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</si>
  <si>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</si>
  <si>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</si>
  <si>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</si>
  <si>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</si>
  <si>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</si>
  <si>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</si>
  <si>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</si>
  <si>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</si>
  <si>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</si>
  <si>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</si>
  <si>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</si>
  <si>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</si>
  <si>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</si>
  <si>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</si>
  <si>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</si>
  <si>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</si>
  <si>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</si>
  <si>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</si>
  <si>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</si>
  <si>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</si>
  <si>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</si>
  <si>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</si>
  <si>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</si>
  <si>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</si>
  <si>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</si>
  <si>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</si>
  <si>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</si>
  <si>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</si>
  <si>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</si>
  <si>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</si>
  <si>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</si>
  <si>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</si>
  <si>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</si>
  <si>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</si>
  <si>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</si>
  <si>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</si>
  <si>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</si>
  <si>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</si>
  <si>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</si>
  <si>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</si>
  <si>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</si>
  <si>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</si>
  <si>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</si>
  <si>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</si>
  <si>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</si>
  <si>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</si>
  <si>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</si>
  <si>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</si>
  <si>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</si>
  <si>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</si>
  <si>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</si>
  <si>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</si>
  <si>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</si>
  <si>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</si>
  <si>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</si>
  <si>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</si>
  <si>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</si>
  <si>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</si>
  <si>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</si>
  <si>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</si>
  <si>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</si>
  <si>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</si>
  <si>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</si>
  <si>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</si>
  <si>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</si>
  <si>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</si>
  <si>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</si>
  <si>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</si>
  <si>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</si>
  <si>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</si>
  <si>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</si>
  <si>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</si>
  <si>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</si>
  <si>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</si>
  <si>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</si>
  <si>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</si>
  <si>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</si>
  <si>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</si>
  <si>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</si>
  <si>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</si>
  <si>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</si>
  <si>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</si>
  <si>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</si>
  <si>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</si>
  <si>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</si>
  <si>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</si>
  <si>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</si>
  <si>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</si>
  <si>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</si>
  <si>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</si>
  <si>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</si>
  <si>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</si>
  <si>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</si>
  <si>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</si>
  <si>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</si>
  <si>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</si>
  <si>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</si>
  <si>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</si>
  <si>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</si>
  <si>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</si>
  <si>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</si>
  <si>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</si>
  <si>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</si>
  <si>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</si>
  <si>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</si>
  <si>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</si>
  <si>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</si>
  <si>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</si>
  <si>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</si>
  <si>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</si>
  <si>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</si>
  <si>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</si>
  <si>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</si>
  <si>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</si>
  <si>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</si>
  <si>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</si>
  <si>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</si>
  <si>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</si>
  <si>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</si>
  <si>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</si>
  <si>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</si>
  <si>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</si>
  <si>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</si>
  <si>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</si>
  <si>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</si>
  <si>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</si>
  <si>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</si>
  <si>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</si>
  <si>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</si>
  <si>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</si>
  <si>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</si>
  <si>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</si>
  <si>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</si>
  <si>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</si>
  <si>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</si>
  <si>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</si>
  <si>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</si>
  <si>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</si>
  <si>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</si>
  <si>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</si>
  <si>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</si>
  <si>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</si>
  <si>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</si>
  <si>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</si>
  <si>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</si>
  <si>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</si>
  <si>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</si>
  <si>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</si>
  <si>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</si>
  <si>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</si>
  <si>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</si>
  <si>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</si>
  <si>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</si>
  <si>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</si>
  <si>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</si>
  <si>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</si>
  <si>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</si>
  <si>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</si>
  <si>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</si>
  <si>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</si>
  <si>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</si>
  <si>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</si>
  <si>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</si>
  <si>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</si>
  <si>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</si>
  <si>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</si>
  <si>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</si>
  <si>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</si>
  <si>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</si>
  <si>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</si>
  <si>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</si>
  <si>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</si>
  <si>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</si>
  <si>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</si>
  <si>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</si>
  <si>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</si>
  <si>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</si>
  <si>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</si>
  <si>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</si>
  <si>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</si>
  <si>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</si>
  <si>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</si>
  <si>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</si>
  <si>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</si>
  <si>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</si>
  <si>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</si>
  <si>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</si>
  <si>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</si>
  <si>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</si>
  <si>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</si>
  <si>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</si>
  <si>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</si>
  <si>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</si>
  <si>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</si>
  <si>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</si>
  <si>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</si>
  <si>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</si>
  <si>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</si>
  <si>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</si>
  <si>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</si>
  <si>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</si>
  <si>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</si>
  <si>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</si>
  <si>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</si>
  <si>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</si>
  <si>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</si>
  <si>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</si>
  <si>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</si>
  <si>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</si>
  <si>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</si>
  <si>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</si>
  <si>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</si>
  <si>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</si>
  <si>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</si>
  <si>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</si>
  <si>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</si>
  <si>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</si>
  <si>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</si>
  <si>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</si>
  <si>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</si>
  <si>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</si>
  <si>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</si>
  <si>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</si>
  <si>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</si>
  <si>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</si>
  <si>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</si>
  <si>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</si>
  <si>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</si>
  <si>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</si>
  <si>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</si>
  <si>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</si>
  <si>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</si>
  <si>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</si>
  <si>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</si>
  <si>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</si>
  <si>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</si>
  <si>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</si>
  <si>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</si>
  <si>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</si>
  <si>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</si>
  <si>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</si>
  <si>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</si>
  <si>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</si>
  <si>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</si>
  <si>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</si>
  <si>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</si>
  <si>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</si>
  <si>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</si>
  <si>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</si>
  <si>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</si>
  <si>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</si>
  <si>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</si>
  <si>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</si>
  <si>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</si>
  <si>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</si>
  <si>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</si>
  <si>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</si>
  <si>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</si>
  <si>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</si>
  <si>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</si>
  <si>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</si>
  <si>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</si>
  <si>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</si>
  <si>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</si>
  <si>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</si>
  <si>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</si>
  <si>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</si>
  <si>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</si>
  <si>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</si>
  <si>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</si>
  <si>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</si>
  <si>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</si>
  <si>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</si>
  <si>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</si>
  <si>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</si>
  <si>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</si>
  <si>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</si>
  <si>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</si>
  <si>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</si>
  <si>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</si>
  <si>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</si>
  <si>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</si>
  <si>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</si>
  <si>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</si>
  <si>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</si>
  <si>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</si>
  <si>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</si>
  <si>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</si>
  <si>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</si>
  <si>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</si>
  <si>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</si>
  <si>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</si>
  <si>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</si>
  <si>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</si>
  <si>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</si>
  <si>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</si>
  <si>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</si>
  <si>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</si>
  <si>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</si>
  <si>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</si>
  <si>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</si>
  <si>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</si>
  <si>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</si>
  <si>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</si>
  <si>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</si>
  <si>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</si>
  <si>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</si>
  <si>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</si>
  <si>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</si>
  <si>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</si>
  <si>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</si>
  <si>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</si>
  <si>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</si>
  <si>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</si>
  <si>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</si>
  <si>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</si>
  <si>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</si>
  <si>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</si>
  <si>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</si>
  <si>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</si>
  <si>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</si>
  <si>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</si>
  <si>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</si>
  <si>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</si>
  <si>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</si>
  <si>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</si>
  <si>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</si>
  <si>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</si>
  <si>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</si>
  <si>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</si>
  <si>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</si>
  <si>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</si>
  <si>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</si>
  <si>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</si>
  <si>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</si>
  <si>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</si>
  <si>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</si>
  <si>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</si>
  <si>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</si>
  <si>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</si>
  <si>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</si>
  <si>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</si>
  <si>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</si>
  <si>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</si>
  <si>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</si>
  <si>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</si>
  <si>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</si>
  <si>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</si>
  <si>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</si>
  <si>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</si>
  <si>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</si>
  <si>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</si>
  <si>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</si>
  <si>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</si>
  <si>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</si>
  <si>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</si>
  <si>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</si>
  <si>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</si>
  <si>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</si>
  <si>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</si>
  <si>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</si>
  <si>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</si>
  <si>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</si>
  <si>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</si>
  <si>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</si>
  <si>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</si>
  <si>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</si>
  <si>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</si>
  <si>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</si>
  <si>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</si>
  <si>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</si>
  <si>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</si>
  <si>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</si>
  <si>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</si>
  <si>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</si>
  <si>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</si>
  <si>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</si>
  <si>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</si>
  <si>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</si>
  <si>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</si>
  <si>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</si>
  <si>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</si>
  <si>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</si>
  <si>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</si>
  <si>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</si>
  <si>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</si>
  <si>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</si>
  <si>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</si>
  <si>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</si>
  <si>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</si>
  <si>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</si>
  <si>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</si>
  <si>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</si>
  <si>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</si>
  <si>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</si>
  <si>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</si>
  <si>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</si>
  <si>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</si>
  <si>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</si>
  <si>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</si>
  <si>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</si>
  <si>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</si>
  <si>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</si>
  <si>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</si>
  <si>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</si>
  <si>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</si>
  <si>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</si>
  <si>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</si>
  <si>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</si>
  <si>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</si>
  <si>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</si>
  <si>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</si>
  <si>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</si>
  <si>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</si>
  <si>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</si>
  <si>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</si>
  <si>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</si>
  <si>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</si>
  <si>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</si>
  <si>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</si>
  <si>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</si>
  <si>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</si>
  <si>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</si>
  <si>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</si>
  <si>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</si>
  <si>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</si>
  <si>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</si>
  <si>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</si>
  <si>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</si>
  <si>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</si>
  <si>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</si>
  <si>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</si>
  <si>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</si>
  <si>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</si>
  <si>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</si>
  <si>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</si>
  <si>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</si>
  <si>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</si>
  <si>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</si>
  <si>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</si>
  <si>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</si>
  <si>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</si>
  <si>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</si>
  <si>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</si>
  <si>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</si>
  <si>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</si>
  <si>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</si>
  <si>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</si>
  <si>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</si>
  <si>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</si>
  <si>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</si>
  <si>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</si>
  <si>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</si>
  <si>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</si>
  <si>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</si>
  <si>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</si>
  <si>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</si>
  <si>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</si>
  <si>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</si>
  <si>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</si>
  <si>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</si>
  <si>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</si>
  <si>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</si>
  <si>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</si>
  <si>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</si>
  <si>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</si>
  <si>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</si>
  <si>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</si>
  <si>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</si>
  <si>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</si>
  <si>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</si>
  <si>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</si>
  <si>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</si>
  <si>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</si>
  <si>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</si>
  <si>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</si>
  <si>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</si>
  <si>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</si>
  <si>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</si>
  <si>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</si>
  <si>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</si>
  <si>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</si>
  <si>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</si>
  <si>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</si>
  <si>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</si>
  <si>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</si>
  <si>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</si>
  <si>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</si>
  <si>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</si>
  <si>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</si>
  <si>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</si>
  <si>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</si>
  <si>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</si>
  <si>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</si>
  <si>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</si>
  <si>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</si>
  <si>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</si>
  <si>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</si>
  <si>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</si>
  <si>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</si>
  <si>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</si>
  <si>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</si>
  <si>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</si>
  <si>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</si>
  <si>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</si>
  <si>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</si>
  <si>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</si>
  <si>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</si>
  <si>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</si>
  <si>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</si>
  <si>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</si>
  <si>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</si>
  <si>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</si>
  <si>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</si>
  <si>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</si>
  <si>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</si>
  <si>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</si>
  <si>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</si>
  <si>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</si>
  <si>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</si>
  <si>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</si>
  <si>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</si>
  <si>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</si>
  <si>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</si>
  <si>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</si>
  <si>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</si>
  <si>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</si>
  <si>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</si>
  <si>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</si>
  <si>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</si>
  <si>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</si>
  <si>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</si>
  <si>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</si>
  <si>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</si>
  <si>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</si>
  <si>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Data Quality &amp; Preparation Checks</t>
  </si>
  <si>
    <t xml:space="preserve">Source: raw_data sheet (campaign_experiment_data.xlsx, experiment_data tab)</t>
  </si>
  <si>
    <t xml:space="preserve">1. Row Count</t>
  </si>
  <si>
    <t xml:space="preserve">Total rows in raw data</t>
  </si>
  <si>
    <t xml:space="preserve">2. Missing Values by Column</t>
  </si>
  <si>
    <t xml:space="preserve">Column</t>
  </si>
  <si>
    <t xml:space="preserve">Missing Count</t>
  </si>
  <si>
    <t xml:space="preserve">Missing %</t>
  </si>
  <si>
    <t xml:space="preserve">Note</t>
  </si>
  <si>
    <t xml:space="preserve">Minor missingness; left as "Unknown" category, excluded from device-level % calcs</t>
  </si>
  <si>
    <t xml:space="preserve">Minor missingness; left as "Unknown" category, excluded from source-level % calcs</t>
  </si>
  <si>
    <t xml:space="preserve">Expected — NaN for every user who did NOT convert to paid (not missing data)</t>
  </si>
  <si>
    <t xml:space="preserve">Minor missingness; excluded via AVERAGE (ignores blanks) in summary calcs</t>
  </si>
  <si>
    <t xml:space="preserve">3. Group Counts (experiment_group)</t>
  </si>
  <si>
    <t xml:space="preserve">Total</t>
  </si>
  <si>
    <t xml:space="preserve">4. Duplicate User IDs</t>
  </si>
  <si>
    <t xml:space="preserve">Unique user_id count</t>
  </si>
  <si>
    <t xml:space="preserve">Duplicate rows found (total rows - unique IDs)</t>
  </si>
  <si>
    <t xml:space="preserve">Handling</t>
  </si>
  <si>
    <t xml:space="preserve">8 fully duplicated rows (4 user_ids x2) found and removed in cleaned_data sheet (kept first occurrence)</t>
  </si>
  <si>
    <t xml:space="preserve">5. Invalid Binary Value Checks</t>
  </si>
  <si>
    <t xml:space="preserve">Values Found Outside {0,1}</t>
  </si>
  <si>
    <t xml:space="preserve">Pass — only 0/1 values present</t>
  </si>
  <si>
    <t xml:space="preserve">6. Revenue Outlier Check (converted users only, IQR method)</t>
  </si>
  <si>
    <t xml:space="preserve">Q1 (25th pct) of revenue, converted users</t>
  </si>
  <si>
    <t xml:space="preserve">Q3 (75th pct) of revenue, converted users</t>
  </si>
  <si>
    <t xml:space="preserve">IQR</t>
  </si>
  <si>
    <t xml:space="preserve">Upper bound (Q3 + 1.5*IQR)</t>
  </si>
  <si>
    <t xml:space="preserve">Number of revenue outliers above upper bound</t>
  </si>
  <si>
    <t xml:space="preserve">4 high-value converters identified as outliers; retained (genuine revenue, not data errors) but flagged — see hypothesis_test_notes.md for sensitivity discussion</t>
  </si>
  <si>
    <t xml:space="preserve">7. Segment Distribution Across Groups (balance check)</t>
  </si>
  <si>
    <t xml:space="preserve">Segment distributions (region, device_type, traffic_source, plan_type) are checked in the</t>
  </si>
  <si>
    <t xml:space="preserve">"segment_balance" sheet using % share of each group — randomization is confirmed if shares are similar between Control and Treatment.</t>
  </si>
  <si>
    <t xml:space="preserve">engagement_control_only</t>
  </si>
  <si>
    <t xml:space="preserve">engagement_treatment_only</t>
  </si>
  <si>
    <t xml:space="preserve">revenue_control_converted</t>
  </si>
  <si>
    <t xml:space="preserve">revenue_treatment_converted</t>
  </si>
  <si>
    <t xml:space="preserve">Unknown</t>
  </si>
  <si>
    <t xml:space="preserve">Note: 8 exact duplicate rows removed from raw_data (1408 -&gt; 1400 rows). Missing device_type/traffic_source filled as "Unknown".</t>
  </si>
  <si>
    <t xml:space="preserve">Segment Distribution Across Control vs Treatment (Randomization Check)</t>
  </si>
  <si>
    <t xml:space="preserve">Similar % shares between groups confirm balanced random assignment.</t>
  </si>
  <si>
    <t xml:space="preserve">Region</t>
  </si>
  <si>
    <t xml:space="preserve">Control n</t>
  </si>
  <si>
    <t xml:space="preserve">Treatment n</t>
  </si>
  <si>
    <t xml:space="preserve">Control %</t>
  </si>
  <si>
    <t xml:space="preserve">Treatment %</t>
  </si>
  <si>
    <t xml:space="preserve">Device Type</t>
  </si>
  <si>
    <t xml:space="preserve">Traffic Source</t>
  </si>
  <si>
    <t xml:space="preserve">Plan Type</t>
  </si>
  <si>
    <t xml:space="preserve">Experiment Metrics Summary — Control vs Treatment</t>
  </si>
  <si>
    <t xml:space="preserve">All values computed via live formulas referencing cleaned_data (duplicates removed).</t>
  </si>
  <si>
    <t xml:space="preserve">Metric</t>
  </si>
  <si>
    <t xml:space="preserve">Absolute Diff</t>
  </si>
  <si>
    <t xml:space="preserve">Relative Lift %</t>
  </si>
  <si>
    <t xml:space="preserve">User count</t>
  </si>
  <si>
    <t xml:space="preserve">Landing page visit rate</t>
  </si>
  <si>
    <t xml:space="preserve">Trial start rate</t>
  </si>
  <si>
    <t xml:space="preserve">Onboarding completion rate</t>
  </si>
  <si>
    <t xml:space="preserve">Paid conversion rate (North Star)</t>
  </si>
  <si>
    <t xml:space="preserve">Average revenue per user</t>
  </si>
  <si>
    <t xml:space="preserve">Average revenue per converted user</t>
  </si>
  <si>
    <t xml:space="preserve">Refund rate</t>
  </si>
  <si>
    <t xml:space="preserve">Support ticket rate (any ticket)</t>
  </si>
  <si>
    <t xml:space="preserve">Average engagement score</t>
  </si>
  <si>
    <t xml:space="preserve">Average days to convert (converted users)</t>
  </si>
  <si>
    <t xml:space="preserve">Metrics by Segment — Region, Device Type, Plan Type</t>
  </si>
  <si>
    <t xml:space="preserve">Required: at least 3 metrics analyzed by segment. Shown here: paid conversion rate, refund rate, average engagement score.</t>
  </si>
  <si>
    <t xml:space="preserve">Group</t>
  </si>
  <si>
    <t xml:space="preserve">N</t>
  </si>
  <si>
    <t xml:space="preserve">Conversion Rate</t>
  </si>
  <si>
    <t xml:space="preserve">Refund Rate</t>
  </si>
  <si>
    <t xml:space="preserve">Avg Engagement Score</t>
  </si>
  <si>
    <t xml:space="preserve">Hypothesis Testing — Two-Proportion Z-Tests &amp; T-Tests</t>
  </si>
  <si>
    <t xml:space="preserve">H0: no difference between Control and Treatment. Significance threshold: alpha = 0.05.</t>
  </si>
  <si>
    <t xml:space="preserve">A. Primary Metric — Paid Conversion Rate (Two-Proportion Z-Test)</t>
  </si>
  <si>
    <t xml:space="preserve">Control conversions (x1)</t>
  </si>
  <si>
    <t xml:space="preserve">Control n (n1)</t>
  </si>
  <si>
    <t xml:space="preserve">Treatment conversions (x2)</t>
  </si>
  <si>
    <t xml:space="preserve">Treatment n (n2)</t>
  </si>
  <si>
    <t xml:space="preserve">p1 = x1/n1</t>
  </si>
  <si>
    <t xml:space="preserve">p2 = x2/n2</t>
  </si>
  <si>
    <t xml:space="preserve">Pooled proportion</t>
  </si>
  <si>
    <t xml:space="preserve">Standard error</t>
  </si>
  <si>
    <t xml:space="preserve">Z statistic</t>
  </si>
  <si>
    <t xml:space="preserve">P-value (two-tailed)</t>
  </si>
  <si>
    <t xml:space="preserve">Significant at alpha=0.05?</t>
  </si>
  <si>
    <t xml:space="preserve">Relative lift (p2-p1)/p1</t>
  </si>
  <si>
    <t xml:space="preserve">B. Guardrail — Refund Rate (Two-Proportion Z-Test)</t>
  </si>
  <si>
    <t xml:space="preserve">Control refunds (x1)</t>
  </si>
  <si>
    <t xml:space="preserve">Treatment refunds (x2)</t>
  </si>
  <si>
    <t xml:space="preserve">p1</t>
  </si>
  <si>
    <t xml:space="preserve">p2</t>
  </si>
  <si>
    <t xml:space="preserve">C. Guardrail — Support Ticket Rate (Two-Proportion Z-Test)</t>
  </si>
  <si>
    <t xml:space="preserve">Control users w/ &gt;=1 ticket (x1)</t>
  </si>
  <si>
    <t xml:space="preserve">Treatment users w/ &gt;=1 ticket (x2)</t>
  </si>
  <si>
    <t xml:space="preserve">D. Engagement Score — Welch t-test (unequal variance)</t>
  </si>
  <si>
    <t xml:space="preserve">Control mean</t>
  </si>
  <si>
    <t xml:space="preserve">Treatment mean</t>
  </si>
  <si>
    <t xml:space="preserve">T-test p-value (Excel T.TEST, two-tailed, type=3 unequal var)</t>
  </si>
  <si>
    <t xml:space="preserve">E. Revenue per Converted User — Welch t-test</t>
  </si>
  <si>
    <t xml:space="preserve">Control mean (converted only)</t>
  </si>
  <si>
    <t xml:space="preserve">Treatment mean (converted only)</t>
  </si>
  <si>
    <t xml:space="preserve">T-test p-value (two-tailed, unequal var) on converted users only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</si>
</sst>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\ h:mm:ss"/>
    <numFmt numFmtId="166" formatCode="0.0%"/>
    <numFmt numFmtId="167" formatCode="\$#,##0"/>
    <numFmt numFmtId="168" formatCode="0.00"/>
    <numFmt numFmtId="169" formatCode="0.00%"/>
    <numFmt numFmtId="170" formatCode="\$#,##0.00"/>
    <numFmt numFmtId="171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11"/>
      <color rgb="FF33333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9"/>
    <col collapsed="false" customWidth="true" hidden="false" outlineLevel="0" max="12" min="12" style="0" width="14"/>
    <col collapsed="false" customWidth="true" hidden="false" outlineLevel="0" max="13" min="13" style="0" width="21"/>
    <col collapsed="false" customWidth="true" hidden="false" outlineLevel="0" max="14" min="14" style="0" width="18"/>
    <col collapsed="false" customWidth="true" hidden="false" outlineLevel="0" max="15" min="15" style="0" width="17"/>
    <col collapsed="false" customWidth="true" hidden="false" outlineLevel="0" max="16" min="1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2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P2" s="0" t="n">
        <v>45.7</v>
      </c>
    </row>
    <row r="3" customFormat="false" ht="15" hidden="false" customHeight="false" outlineLevel="0" collapsed="false">
      <c r="A3" s="0" t="s">
        <v>22</v>
      </c>
      <c r="B3" s="2" t="n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P3" s="0" t="n">
        <v>48.6</v>
      </c>
    </row>
    <row r="4" customFormat="false" ht="15" hidden="false" customHeight="false" outlineLevel="0" collapsed="false">
      <c r="A4" s="0" t="s">
        <v>27</v>
      </c>
      <c r="B4" s="2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P4" s="0" t="n">
        <v>35.4</v>
      </c>
    </row>
    <row r="5" customFormat="false" ht="15" hidden="false" customHeight="false" outlineLevel="0" collapsed="false">
      <c r="A5" s="0" t="s">
        <v>31</v>
      </c>
      <c r="B5" s="2" t="n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P5" s="0" t="n">
        <v>64.6</v>
      </c>
    </row>
    <row r="6" customFormat="false" ht="15" hidden="false" customHeight="false" outlineLevel="0" collapsed="false">
      <c r="A6" s="0" t="s">
        <v>33</v>
      </c>
      <c r="B6" s="2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P6" s="0" t="n">
        <v>66.6</v>
      </c>
    </row>
    <row r="7" customFormat="false" ht="15" hidden="false" customHeight="false" outlineLevel="0" collapsed="false">
      <c r="A7" s="0" t="s">
        <v>35</v>
      </c>
      <c r="B7" s="2" t="n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P7" s="0" t="n">
        <v>40.8</v>
      </c>
    </row>
    <row r="8" customFormat="false" ht="15" hidden="false" customHeight="false" outlineLevel="0" collapsed="false">
      <c r="A8" s="0" t="s">
        <v>36</v>
      </c>
      <c r="B8" s="2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P8" s="0" t="n">
        <v>57.1</v>
      </c>
    </row>
    <row r="9" customFormat="false" ht="15" hidden="false" customHeight="false" outlineLevel="0" collapsed="false">
      <c r="A9" s="0" t="s">
        <v>37</v>
      </c>
      <c r="B9" s="2" t="n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P9" s="0" t="n">
        <v>36.4</v>
      </c>
    </row>
    <row r="10" customFormat="false" ht="15" hidden="false" customHeight="false" outlineLevel="0" collapsed="false">
      <c r="A10" s="0" t="s">
        <v>38</v>
      </c>
      <c r="B10" s="2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P10" s="0" t="n">
        <v>55.4</v>
      </c>
    </row>
    <row r="11" customFormat="false" ht="15" hidden="false" customHeight="false" outlineLevel="0" collapsed="false">
      <c r="A11" s="0" t="s">
        <v>40</v>
      </c>
      <c r="B11" s="2" t="n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P11" s="0" t="n">
        <v>57.3</v>
      </c>
    </row>
    <row r="12" customFormat="false" ht="15" hidden="false" customHeight="false" outlineLevel="0" collapsed="false">
      <c r="A12" s="0" t="s">
        <v>42</v>
      </c>
      <c r="B12" s="2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P12" s="0" t="n">
        <v>63.6</v>
      </c>
    </row>
    <row r="13" customFormat="false" ht="15" hidden="false" customHeight="false" outlineLevel="0" collapsed="false">
      <c r="A13" s="0" t="s">
        <v>43</v>
      </c>
      <c r="B13" s="2" t="n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P13" s="0" t="n">
        <v>80.4</v>
      </c>
    </row>
    <row r="14" customFormat="false" ht="15" hidden="false" customHeight="false" outlineLevel="0" collapsed="false">
      <c r="A14" s="0" t="s">
        <v>44</v>
      </c>
      <c r="B14" s="2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P14" s="0" t="n">
        <v>62.4</v>
      </c>
    </row>
    <row r="15" customFormat="false" ht="15" hidden="false" customHeight="false" outlineLevel="0" collapsed="false">
      <c r="A15" s="0" t="s">
        <v>45</v>
      </c>
      <c r="B15" s="2" t="n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P15" s="0" t="n">
        <v>82.4</v>
      </c>
    </row>
    <row r="16" customFormat="false" ht="15" hidden="false" customHeight="false" outlineLevel="0" collapsed="false">
      <c r="A16" s="0" t="s">
        <v>46</v>
      </c>
      <c r="B16" s="2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P16" s="0" t="n">
        <v>61.2</v>
      </c>
    </row>
    <row r="17" customFormat="false" ht="15" hidden="false" customHeight="false" outlineLevel="0" collapsed="false">
      <c r="A17" s="0" t="s">
        <v>47</v>
      </c>
      <c r="B17" s="2" t="n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P17" s="0" t="n">
        <v>68.9</v>
      </c>
    </row>
    <row r="18" customFormat="false" ht="15" hidden="false" customHeight="false" outlineLevel="0" collapsed="false">
      <c r="A18" s="0" t="s">
        <v>48</v>
      </c>
      <c r="B18" s="2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P18" s="0" t="n">
        <v>71.9</v>
      </c>
    </row>
    <row r="19" customFormat="false" ht="15" hidden="false" customHeight="false" outlineLevel="0" collapsed="false">
      <c r="A19" s="0" t="s">
        <v>49</v>
      </c>
      <c r="B19" s="2" t="n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P19" s="0" t="n">
        <v>50.5</v>
      </c>
    </row>
    <row r="20" customFormat="false" ht="15" hidden="false" customHeight="false" outlineLevel="0" collapsed="false">
      <c r="A20" s="0" t="s">
        <v>50</v>
      </c>
      <c r="B20" s="2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P20" s="0" t="n">
        <v>49.3</v>
      </c>
    </row>
    <row r="21" customFormat="false" ht="15" hidden="false" customHeight="false" outlineLevel="0" collapsed="false">
      <c r="A21" s="0" t="s">
        <v>51</v>
      </c>
      <c r="B21" s="2" t="n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P21" s="0" t="n">
        <v>60.9</v>
      </c>
    </row>
    <row r="22" customFormat="false" ht="15" hidden="false" customHeight="false" outlineLevel="0" collapsed="false">
      <c r="A22" s="0" t="s">
        <v>52</v>
      </c>
      <c r="B22" s="2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P22" s="0" t="n">
        <v>62.7</v>
      </c>
    </row>
    <row r="23" customFormat="false" ht="15" hidden="false" customHeight="false" outlineLevel="0" collapsed="false">
      <c r="A23" s="0" t="s">
        <v>53</v>
      </c>
      <c r="B23" s="2" t="n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P23" s="0" t="n">
        <v>52.7</v>
      </c>
    </row>
    <row r="24" customFormat="false" ht="15" hidden="false" customHeight="false" outlineLevel="0" collapsed="false">
      <c r="A24" s="0" t="s">
        <v>54</v>
      </c>
      <c r="B24" s="2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P24" s="0" t="n">
        <v>54</v>
      </c>
    </row>
    <row r="25" customFormat="false" ht="15" hidden="false" customHeight="false" outlineLevel="0" collapsed="false">
      <c r="A25" s="0" t="s">
        <v>55</v>
      </c>
      <c r="B25" s="2" t="n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P25" s="0" t="n">
        <v>51.6</v>
      </c>
    </row>
    <row r="26" customFormat="false" ht="15" hidden="false" customHeight="false" outlineLevel="0" collapsed="false">
      <c r="A26" s="0" t="s">
        <v>56</v>
      </c>
      <c r="B26" s="2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P26" s="0" t="n">
        <v>66.9</v>
      </c>
    </row>
    <row r="27" customFormat="false" ht="15" hidden="false" customHeight="false" outlineLevel="0" collapsed="false">
      <c r="A27" s="0" t="s">
        <v>57</v>
      </c>
      <c r="B27" s="2" t="n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P27" s="0" t="n">
        <v>67.4</v>
      </c>
    </row>
    <row r="28" customFormat="false" ht="15" hidden="false" customHeight="false" outlineLevel="0" collapsed="false">
      <c r="A28" s="0" t="s">
        <v>58</v>
      </c>
      <c r="B28" s="2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P28" s="0" t="n">
        <v>58.8</v>
      </c>
    </row>
    <row r="29" customFormat="false" ht="15" hidden="false" customHeight="false" outlineLevel="0" collapsed="false">
      <c r="A29" s="0" t="s">
        <v>59</v>
      </c>
      <c r="B29" s="2" t="n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P29" s="0" t="n">
        <v>73.8</v>
      </c>
    </row>
    <row r="30" customFormat="false" ht="15" hidden="false" customHeight="false" outlineLevel="0" collapsed="false">
      <c r="A30" s="0" t="s">
        <v>60</v>
      </c>
      <c r="B30" s="2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P30" s="0" t="n">
        <v>60.1</v>
      </c>
    </row>
    <row r="31" customFormat="false" ht="15" hidden="false" customHeight="false" outlineLevel="0" collapsed="false">
      <c r="A31" s="0" t="s">
        <v>61</v>
      </c>
      <c r="B31" s="2" t="n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P31" s="0" t="n">
        <v>41</v>
      </c>
    </row>
    <row r="32" customFormat="false" ht="15" hidden="false" customHeight="false" outlineLevel="0" collapsed="false">
      <c r="A32" s="0" t="s">
        <v>62</v>
      </c>
      <c r="B32" s="2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P32" s="0" t="n">
        <v>80.3</v>
      </c>
    </row>
    <row r="33" customFormat="false" ht="15" hidden="false" customHeight="false" outlineLevel="0" collapsed="false">
      <c r="A33" s="0" t="s">
        <v>63</v>
      </c>
      <c r="B33" s="2" t="n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P33" s="0" t="n">
        <v>67.6</v>
      </c>
    </row>
    <row r="34" customFormat="false" ht="15" hidden="false" customHeight="false" outlineLevel="0" collapsed="false">
      <c r="A34" s="0" t="s">
        <v>64</v>
      </c>
      <c r="B34" s="2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P34" s="0" t="n">
        <v>64</v>
      </c>
    </row>
    <row r="35" customFormat="false" ht="15" hidden="false" customHeight="false" outlineLevel="0" collapsed="false">
      <c r="A35" s="0" t="s">
        <v>65</v>
      </c>
      <c r="B35" s="2" t="n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P35" s="0" t="n">
        <v>27.2</v>
      </c>
    </row>
    <row r="36" customFormat="false" ht="15" hidden="false" customHeight="false" outlineLevel="0" collapsed="false">
      <c r="A36" s="0" t="s">
        <v>66</v>
      </c>
      <c r="B36" s="2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P36" s="0" t="n">
        <v>85.4</v>
      </c>
    </row>
    <row r="37" customFormat="false" ht="15" hidden="false" customHeight="false" outlineLevel="0" collapsed="false">
      <c r="A37" s="0" t="s">
        <v>67</v>
      </c>
      <c r="B37" s="2" t="n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P37" s="0" t="n">
        <v>75.9</v>
      </c>
    </row>
    <row r="38" customFormat="false" ht="15" hidden="false" customHeight="false" outlineLevel="0" collapsed="false">
      <c r="A38" s="0" t="s">
        <v>68</v>
      </c>
      <c r="B38" s="2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P38" s="0" t="n">
        <v>34.8</v>
      </c>
    </row>
    <row r="39" customFormat="false" ht="15" hidden="false" customHeight="false" outlineLevel="0" collapsed="false">
      <c r="A39" s="0" t="s">
        <v>69</v>
      </c>
      <c r="B39" s="2" t="n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3</v>
      </c>
      <c r="N39" s="0" t="n">
        <v>0</v>
      </c>
      <c r="P39" s="0" t="n">
        <v>48.9</v>
      </c>
    </row>
    <row r="40" customFormat="false" ht="15" hidden="false" customHeight="false" outlineLevel="0" collapsed="false">
      <c r="A40" s="0" t="s">
        <v>70</v>
      </c>
      <c r="B40" s="2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P40" s="0" t="n">
        <v>41.5</v>
      </c>
    </row>
    <row r="41" customFormat="false" ht="15" hidden="false" customHeight="false" outlineLevel="0" collapsed="false">
      <c r="A41" s="0" t="s">
        <v>71</v>
      </c>
      <c r="B41" s="2" t="n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P41" s="0" t="n">
        <v>51.5</v>
      </c>
    </row>
    <row r="42" customFormat="false" ht="15" hidden="false" customHeight="false" outlineLevel="0" collapsed="false">
      <c r="A42" s="0" t="s">
        <v>72</v>
      </c>
      <c r="B42" s="2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P42" s="0" t="n">
        <v>53.2</v>
      </c>
    </row>
    <row r="43" customFormat="false" ht="15" hidden="false" customHeight="false" outlineLevel="0" collapsed="false">
      <c r="A43" s="0" t="s">
        <v>73</v>
      </c>
      <c r="B43" s="2" t="n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P43" s="0" t="n">
        <v>55.6</v>
      </c>
    </row>
    <row r="44" customFormat="false" ht="15" hidden="false" customHeight="false" outlineLevel="0" collapsed="false">
      <c r="A44" s="0" t="s">
        <v>74</v>
      </c>
      <c r="B44" s="2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P44" s="0" t="n">
        <v>73</v>
      </c>
    </row>
    <row r="45" customFormat="false" ht="15" hidden="false" customHeight="false" outlineLevel="0" collapsed="false">
      <c r="A45" s="0" t="s">
        <v>75</v>
      </c>
      <c r="B45" s="2" t="n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P45" s="0" t="n">
        <v>65</v>
      </c>
    </row>
    <row r="46" customFormat="false" ht="15" hidden="false" customHeight="false" outlineLevel="0" collapsed="false">
      <c r="A46" s="0" t="s">
        <v>76</v>
      </c>
      <c r="B46" s="2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4</v>
      </c>
      <c r="N46" s="0" t="n">
        <v>0</v>
      </c>
      <c r="P46" s="0" t="n">
        <v>56.3</v>
      </c>
    </row>
    <row r="47" customFormat="false" ht="15" hidden="false" customHeight="false" outlineLevel="0" collapsed="false">
      <c r="A47" s="0" t="s">
        <v>77</v>
      </c>
      <c r="B47" s="2" t="n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P47" s="0" t="n">
        <v>62.4</v>
      </c>
    </row>
    <row r="48" customFormat="false" ht="15" hidden="false" customHeight="false" outlineLevel="0" collapsed="false">
      <c r="A48" s="0" t="s">
        <v>78</v>
      </c>
      <c r="B48" s="2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P48" s="0" t="n">
        <v>58.1</v>
      </c>
    </row>
    <row r="49" customFormat="false" ht="15" hidden="false" customHeight="false" outlineLevel="0" collapsed="false">
      <c r="A49" s="0" t="s">
        <v>79</v>
      </c>
      <c r="B49" s="2" t="n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P49" s="0" t="n">
        <v>80.8</v>
      </c>
    </row>
    <row r="50" customFormat="false" ht="15" hidden="false" customHeight="false" outlineLevel="0" collapsed="false">
      <c r="A50" s="0" t="s">
        <v>80</v>
      </c>
      <c r="B50" s="2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P50" s="0" t="n">
        <v>42.9</v>
      </c>
    </row>
    <row r="51" customFormat="false" ht="15" hidden="false" customHeight="false" outlineLevel="0" collapsed="false">
      <c r="A51" s="0" t="s">
        <v>81</v>
      </c>
      <c r="B51" s="2" t="n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P51" s="0" t="n">
        <v>52.7</v>
      </c>
    </row>
    <row r="52" customFormat="false" ht="15" hidden="false" customHeight="false" outlineLevel="0" collapsed="false">
      <c r="A52" s="0" t="s">
        <v>82</v>
      </c>
      <c r="B52" s="2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P52" s="0" t="n">
        <v>46.9</v>
      </c>
    </row>
    <row r="53" customFormat="false" ht="15" hidden="false" customHeight="false" outlineLevel="0" collapsed="false">
      <c r="A53" s="0" t="s">
        <v>83</v>
      </c>
      <c r="B53" s="2" t="n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P53" s="0" t="n">
        <v>63</v>
      </c>
    </row>
    <row r="54" customFormat="false" ht="15" hidden="false" customHeight="false" outlineLevel="0" collapsed="false">
      <c r="A54" s="0" t="s">
        <v>84</v>
      </c>
      <c r="B54" s="2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P54" s="0" t="n">
        <v>53.6</v>
      </c>
    </row>
    <row r="55" customFormat="false" ht="15" hidden="false" customHeight="false" outlineLevel="0" collapsed="false">
      <c r="A55" s="0" t="s">
        <v>85</v>
      </c>
      <c r="B55" s="2" t="n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P55" s="0" t="n">
        <v>49.6</v>
      </c>
    </row>
    <row r="56" customFormat="false" ht="15" hidden="false" customHeight="false" outlineLevel="0" collapsed="false">
      <c r="A56" s="0" t="s">
        <v>86</v>
      </c>
      <c r="B56" s="2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P56" s="0" t="n">
        <v>54</v>
      </c>
    </row>
    <row r="57" customFormat="false" ht="15" hidden="false" customHeight="false" outlineLevel="0" collapsed="false">
      <c r="A57" s="0" t="s">
        <v>87</v>
      </c>
      <c r="B57" s="2" t="n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0</v>
      </c>
      <c r="P57" s="0" t="n">
        <v>50</v>
      </c>
    </row>
    <row r="58" customFormat="false" ht="15" hidden="false" customHeight="false" outlineLevel="0" collapsed="false">
      <c r="A58" s="0" t="s">
        <v>88</v>
      </c>
      <c r="B58" s="2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P58" s="0" t="n">
        <v>48.1</v>
      </c>
    </row>
    <row r="59" customFormat="false" ht="15" hidden="false" customHeight="false" outlineLevel="0" collapsed="false">
      <c r="A59" s="0" t="s">
        <v>89</v>
      </c>
      <c r="B59" s="2" t="n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P59" s="0" t="n">
        <v>49.6</v>
      </c>
    </row>
    <row r="60" customFormat="false" ht="15" hidden="false" customHeight="false" outlineLevel="0" collapsed="false">
      <c r="A60" s="0" t="s">
        <v>90</v>
      </c>
      <c r="B60" s="2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P60" s="0" t="n">
        <v>48.9</v>
      </c>
    </row>
    <row r="61" customFormat="false" ht="15" hidden="false" customHeight="false" outlineLevel="0" collapsed="false">
      <c r="A61" s="0" t="s">
        <v>91</v>
      </c>
      <c r="B61" s="2" t="n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240.42</v>
      </c>
      <c r="M61" s="0" t="n">
        <v>0</v>
      </c>
      <c r="N61" s="0" t="n">
        <v>0</v>
      </c>
      <c r="O61" s="0" t="n">
        <v>16</v>
      </c>
      <c r="P61" s="0" t="n">
        <v>56.5</v>
      </c>
    </row>
    <row r="62" customFormat="false" ht="15" hidden="false" customHeight="false" outlineLevel="0" collapsed="false">
      <c r="A62" s="0" t="s">
        <v>92</v>
      </c>
      <c r="B62" s="2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P62" s="0" t="n">
        <v>53.7</v>
      </c>
    </row>
    <row r="63" customFormat="false" ht="15" hidden="false" customHeight="false" outlineLevel="0" collapsed="false">
      <c r="A63" s="0" t="s">
        <v>93</v>
      </c>
      <c r="B63" s="2" t="n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P63" s="0" t="n">
        <v>62.2</v>
      </c>
    </row>
    <row r="64" customFormat="false" ht="15" hidden="false" customHeight="false" outlineLevel="0" collapsed="false">
      <c r="A64" s="0" t="s">
        <v>94</v>
      </c>
      <c r="B64" s="2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P64" s="0" t="n">
        <v>50.2</v>
      </c>
    </row>
    <row r="65" customFormat="false" ht="15" hidden="false" customHeight="false" outlineLevel="0" collapsed="false">
      <c r="A65" s="0" t="s">
        <v>95</v>
      </c>
      <c r="B65" s="2" t="n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P65" s="0" t="n">
        <v>74.3</v>
      </c>
    </row>
    <row r="66" customFormat="false" ht="15" hidden="false" customHeight="false" outlineLevel="0" collapsed="false">
      <c r="A66" s="0" t="s">
        <v>96</v>
      </c>
      <c r="B66" s="2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P66" s="0" t="n">
        <v>58</v>
      </c>
    </row>
    <row r="67" customFormat="false" ht="15" hidden="false" customHeight="false" outlineLevel="0" collapsed="false">
      <c r="A67" s="0" t="s">
        <v>97</v>
      </c>
      <c r="B67" s="2" t="n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P67" s="0" t="n">
        <v>46.7</v>
      </c>
    </row>
    <row r="68" customFormat="false" ht="15" hidden="false" customHeight="false" outlineLevel="0" collapsed="false">
      <c r="A68" s="0" t="s">
        <v>98</v>
      </c>
      <c r="B68" s="2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P68" s="0" t="n">
        <v>49.6</v>
      </c>
    </row>
    <row r="69" customFormat="false" ht="15" hidden="false" customHeight="false" outlineLevel="0" collapsed="false">
      <c r="A69" s="0" t="s">
        <v>99</v>
      </c>
      <c r="B69" s="2" t="n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P69" s="0" t="n">
        <v>60.4</v>
      </c>
    </row>
    <row r="70" customFormat="false" ht="15" hidden="false" customHeight="false" outlineLevel="0" collapsed="false">
      <c r="A70" s="0" t="s">
        <v>100</v>
      </c>
      <c r="B70" s="2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P70" s="0" t="n">
        <v>55.3</v>
      </c>
    </row>
    <row r="71" customFormat="false" ht="15" hidden="false" customHeight="false" outlineLevel="0" collapsed="false">
      <c r="A71" s="0" t="s">
        <v>101</v>
      </c>
      <c r="B71" s="2" t="n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P71" s="0" t="n">
        <v>56.2</v>
      </c>
    </row>
    <row r="72" customFormat="false" ht="15" hidden="false" customHeight="false" outlineLevel="0" collapsed="false">
      <c r="A72" s="0" t="s">
        <v>102</v>
      </c>
      <c r="B72" s="2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P72" s="0" t="n">
        <v>29.4</v>
      </c>
    </row>
    <row r="73" customFormat="false" ht="15" hidden="false" customHeight="false" outlineLevel="0" collapsed="false">
      <c r="A73" s="0" t="s">
        <v>103</v>
      </c>
      <c r="B73" s="2" t="n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P73" s="0" t="n">
        <v>54.2</v>
      </c>
    </row>
    <row r="74" customFormat="false" ht="15" hidden="false" customHeight="false" outlineLevel="0" collapsed="false">
      <c r="A74" s="0" t="s">
        <v>104</v>
      </c>
      <c r="B74" s="2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P74" s="0" t="n">
        <v>46.4</v>
      </c>
    </row>
    <row r="75" customFormat="false" ht="15" hidden="false" customHeight="false" outlineLevel="0" collapsed="false">
      <c r="A75" s="0" t="s">
        <v>105</v>
      </c>
      <c r="B75" s="2" t="n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P75" s="0" t="n">
        <v>54.5</v>
      </c>
    </row>
    <row r="76" customFormat="false" ht="15" hidden="false" customHeight="false" outlineLevel="0" collapsed="false">
      <c r="A76" s="0" t="s">
        <v>106</v>
      </c>
      <c r="B76" s="2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P76" s="0" t="n">
        <v>58.5</v>
      </c>
    </row>
    <row r="77" customFormat="false" ht="15" hidden="false" customHeight="false" outlineLevel="0" collapsed="false">
      <c r="A77" s="0" t="s">
        <v>107</v>
      </c>
      <c r="B77" s="2" t="n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P77" s="0" t="n">
        <v>75.9</v>
      </c>
    </row>
    <row r="78" customFormat="false" ht="15" hidden="false" customHeight="false" outlineLevel="0" collapsed="false">
      <c r="A78" s="0" t="s">
        <v>108</v>
      </c>
      <c r="B78" s="2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P78" s="0" t="n">
        <v>84.9</v>
      </c>
    </row>
    <row r="79" customFormat="false" ht="15" hidden="false" customHeight="false" outlineLevel="0" collapsed="false">
      <c r="A79" s="0" t="s">
        <v>109</v>
      </c>
      <c r="B79" s="2" t="n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0</v>
      </c>
      <c r="P79" s="0" t="n">
        <v>48.4</v>
      </c>
    </row>
    <row r="80" customFormat="false" ht="15" hidden="false" customHeight="false" outlineLevel="0" collapsed="false">
      <c r="A80" s="0" t="s">
        <v>110</v>
      </c>
      <c r="B80" s="2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457.51</v>
      </c>
      <c r="M80" s="0" t="n">
        <v>0</v>
      </c>
      <c r="N80" s="0" t="n">
        <v>0</v>
      </c>
      <c r="O80" s="0" t="n">
        <v>7</v>
      </c>
      <c r="P80" s="0" t="n">
        <v>38</v>
      </c>
    </row>
    <row r="81" customFormat="false" ht="15" hidden="false" customHeight="false" outlineLevel="0" collapsed="false">
      <c r="A81" s="0" t="s">
        <v>111</v>
      </c>
      <c r="B81" s="2" t="n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P81" s="0" t="n">
        <v>44.2</v>
      </c>
    </row>
    <row r="82" customFormat="false" ht="15" hidden="false" customHeight="false" outlineLevel="0" collapsed="false">
      <c r="A82" s="0" t="s">
        <v>112</v>
      </c>
      <c r="B82" s="2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P82" s="0" t="n">
        <v>81.2</v>
      </c>
    </row>
    <row r="83" customFormat="false" ht="15" hidden="false" customHeight="false" outlineLevel="0" collapsed="false">
      <c r="A83" s="0" t="s">
        <v>113</v>
      </c>
      <c r="B83" s="2" t="n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P83" s="0" t="n">
        <v>63.8</v>
      </c>
    </row>
    <row r="84" customFormat="false" ht="15" hidden="false" customHeight="false" outlineLevel="0" collapsed="false">
      <c r="A84" s="0" t="s">
        <v>114</v>
      </c>
      <c r="B84" s="2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P84" s="0" t="n">
        <v>64.7</v>
      </c>
    </row>
    <row r="85" customFormat="false" ht="15" hidden="false" customHeight="false" outlineLevel="0" collapsed="false">
      <c r="A85" s="0" t="s">
        <v>115</v>
      </c>
      <c r="B85" s="2" t="n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P85" s="0" t="n">
        <v>60.4</v>
      </c>
    </row>
    <row r="86" customFormat="false" ht="15" hidden="false" customHeight="false" outlineLevel="0" collapsed="false">
      <c r="A86" s="0" t="s">
        <v>116</v>
      </c>
      <c r="B86" s="2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P86" s="0" t="n">
        <v>66.6</v>
      </c>
    </row>
    <row r="87" customFormat="false" ht="15" hidden="false" customHeight="false" outlineLevel="0" collapsed="false">
      <c r="A87" s="0" t="s">
        <v>117</v>
      </c>
      <c r="B87" s="2" t="n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P87" s="0" t="n">
        <v>50.9</v>
      </c>
    </row>
    <row r="88" customFormat="false" ht="15" hidden="false" customHeight="false" outlineLevel="0" collapsed="false">
      <c r="A88" s="0" t="s">
        <v>118</v>
      </c>
      <c r="B88" s="2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P88" s="0" t="n">
        <v>51</v>
      </c>
    </row>
    <row r="89" customFormat="false" ht="15" hidden="false" customHeight="false" outlineLevel="0" collapsed="false">
      <c r="A89" s="0" t="s">
        <v>119</v>
      </c>
      <c r="B89" s="2" t="n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P89" s="0" t="n">
        <v>65.8</v>
      </c>
    </row>
    <row r="90" customFormat="false" ht="15" hidden="false" customHeight="false" outlineLevel="0" collapsed="false">
      <c r="A90" s="0" t="s">
        <v>120</v>
      </c>
      <c r="B90" s="2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P90" s="0" t="n">
        <v>61.8</v>
      </c>
    </row>
    <row r="91" customFormat="false" ht="15" hidden="false" customHeight="false" outlineLevel="0" collapsed="false">
      <c r="A91" s="0" t="s">
        <v>121</v>
      </c>
      <c r="B91" s="2" t="n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P91" s="0" t="n">
        <v>54.5</v>
      </c>
    </row>
    <row r="92" customFormat="false" ht="15" hidden="false" customHeight="false" outlineLevel="0" collapsed="false">
      <c r="A92" s="0" t="s">
        <v>122</v>
      </c>
      <c r="B92" s="2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P92" s="0" t="n">
        <v>72.2</v>
      </c>
    </row>
    <row r="93" customFormat="false" ht="15" hidden="false" customHeight="false" outlineLevel="0" collapsed="false">
      <c r="A93" s="0" t="s">
        <v>123</v>
      </c>
      <c r="B93" s="2" t="n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P93" s="0" t="n">
        <v>42.3</v>
      </c>
    </row>
    <row r="94" customFormat="false" ht="15" hidden="false" customHeight="false" outlineLevel="0" collapsed="false">
      <c r="A94" s="0" t="s">
        <v>124</v>
      </c>
      <c r="B94" s="2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P94" s="0" t="n">
        <v>76.2</v>
      </c>
    </row>
    <row r="95" customFormat="false" ht="15" hidden="false" customHeight="false" outlineLevel="0" collapsed="false">
      <c r="A95" s="0" t="s">
        <v>125</v>
      </c>
      <c r="B95" s="2" t="n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P95" s="0" t="n">
        <v>37.4</v>
      </c>
    </row>
    <row r="96" customFormat="false" ht="15" hidden="false" customHeight="false" outlineLevel="0" collapsed="false">
      <c r="A96" s="0" t="s">
        <v>126</v>
      </c>
      <c r="B96" s="2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P96" s="0" t="n">
        <v>84.2</v>
      </c>
    </row>
    <row r="97" customFormat="false" ht="15" hidden="false" customHeight="false" outlineLevel="0" collapsed="false">
      <c r="A97" s="0" t="s">
        <v>127</v>
      </c>
      <c r="B97" s="2" t="n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P97" s="0" t="n">
        <v>68</v>
      </c>
    </row>
    <row r="98" customFormat="false" ht="15" hidden="false" customHeight="false" outlineLevel="0" collapsed="false">
      <c r="A98" s="0" t="s">
        <v>128</v>
      </c>
      <c r="B98" s="2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P98" s="0" t="n">
        <v>53.5</v>
      </c>
    </row>
    <row r="99" customFormat="false" ht="15" hidden="false" customHeight="false" outlineLevel="0" collapsed="false">
      <c r="A99" s="0" t="s">
        <v>129</v>
      </c>
      <c r="B99" s="2" t="n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P99" s="0" t="n">
        <v>63.2</v>
      </c>
    </row>
    <row r="100" customFormat="false" ht="15" hidden="false" customHeight="false" outlineLevel="0" collapsed="false">
      <c r="A100" s="0" t="s">
        <v>130</v>
      </c>
      <c r="B100" s="2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363.32</v>
      </c>
      <c r="M100" s="0" t="n">
        <v>0</v>
      </c>
      <c r="N100" s="0" t="n">
        <v>0</v>
      </c>
      <c r="O100" s="0" t="n">
        <v>9</v>
      </c>
      <c r="P100" s="0" t="n">
        <v>55.9</v>
      </c>
    </row>
    <row r="101" customFormat="false" ht="15" hidden="false" customHeight="false" outlineLevel="0" collapsed="false">
      <c r="A101" s="0" t="s">
        <v>131</v>
      </c>
      <c r="B101" s="2" t="n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P101" s="0" t="n">
        <v>63.5</v>
      </c>
    </row>
    <row r="102" customFormat="false" ht="15" hidden="false" customHeight="false" outlineLevel="0" collapsed="false">
      <c r="A102" s="0" t="s">
        <v>132</v>
      </c>
      <c r="B102" s="2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P102" s="0" t="n">
        <v>51.5</v>
      </c>
    </row>
    <row r="103" customFormat="false" ht="15" hidden="false" customHeight="false" outlineLevel="0" collapsed="false">
      <c r="A103" s="0" t="s">
        <v>133</v>
      </c>
      <c r="B103" s="2" t="n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P103" s="0" t="n">
        <v>74.4</v>
      </c>
    </row>
    <row r="104" customFormat="false" ht="15" hidden="false" customHeight="false" outlineLevel="0" collapsed="false">
      <c r="A104" s="0" t="s">
        <v>134</v>
      </c>
      <c r="B104" s="2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3887.98</v>
      </c>
      <c r="M104" s="0" t="n">
        <v>0</v>
      </c>
      <c r="N104" s="0" t="n">
        <v>0</v>
      </c>
      <c r="O104" s="0" t="n">
        <v>13</v>
      </c>
      <c r="P104" s="0" t="n">
        <v>60.2</v>
      </c>
    </row>
    <row r="105" customFormat="false" ht="15" hidden="false" customHeight="false" outlineLevel="0" collapsed="false">
      <c r="A105" s="0" t="s">
        <v>135</v>
      </c>
      <c r="B105" s="2" t="n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P105" s="0" t="n">
        <v>67.2</v>
      </c>
    </row>
    <row r="106" customFormat="false" ht="15" hidden="false" customHeight="false" outlineLevel="0" collapsed="false">
      <c r="A106" s="0" t="s">
        <v>136</v>
      </c>
      <c r="B106" s="2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P106" s="0" t="n">
        <v>79.6</v>
      </c>
    </row>
    <row r="107" customFormat="false" ht="15" hidden="false" customHeight="false" outlineLevel="0" collapsed="false">
      <c r="A107" s="0" t="s">
        <v>137</v>
      </c>
      <c r="B107" s="2" t="n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8610.72</v>
      </c>
      <c r="M107" s="0" t="n">
        <v>0</v>
      </c>
      <c r="N107" s="0" t="n">
        <v>0</v>
      </c>
      <c r="O107" s="0" t="n">
        <v>6</v>
      </c>
      <c r="P107" s="0" t="n">
        <v>61</v>
      </c>
    </row>
    <row r="108" customFormat="false" ht="15" hidden="false" customHeight="false" outlineLevel="0" collapsed="false">
      <c r="A108" s="0" t="s">
        <v>138</v>
      </c>
      <c r="B108" s="2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4</v>
      </c>
      <c r="N108" s="0" t="n">
        <v>0</v>
      </c>
      <c r="P108" s="0" t="n">
        <v>51.1</v>
      </c>
    </row>
    <row r="109" customFormat="false" ht="15" hidden="false" customHeight="false" outlineLevel="0" collapsed="false">
      <c r="A109" s="0" t="s">
        <v>139</v>
      </c>
      <c r="B109" s="2" t="n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P109" s="0" t="n">
        <v>92.1</v>
      </c>
    </row>
    <row r="110" customFormat="false" ht="15" hidden="false" customHeight="false" outlineLevel="0" collapsed="false">
      <c r="A110" s="0" t="s">
        <v>140</v>
      </c>
      <c r="B110" s="2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P110" s="0" t="n">
        <v>82.1</v>
      </c>
    </row>
    <row r="111" customFormat="false" ht="15" hidden="false" customHeight="false" outlineLevel="0" collapsed="false">
      <c r="A111" s="0" t="s">
        <v>141</v>
      </c>
      <c r="B111" s="2" t="n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P111" s="0" t="n">
        <v>74</v>
      </c>
    </row>
    <row r="112" customFormat="false" ht="15" hidden="false" customHeight="false" outlineLevel="0" collapsed="false">
      <c r="A112" s="0" t="s">
        <v>142</v>
      </c>
      <c r="B112" s="2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P112" s="0" t="n">
        <v>63.4</v>
      </c>
    </row>
    <row r="113" customFormat="false" ht="15" hidden="false" customHeight="false" outlineLevel="0" collapsed="false">
      <c r="A113" s="0" t="s">
        <v>143</v>
      </c>
      <c r="B113" s="2" t="n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P113" s="0" t="n">
        <v>53.2</v>
      </c>
    </row>
    <row r="114" customFormat="false" ht="15" hidden="false" customHeight="false" outlineLevel="0" collapsed="false">
      <c r="A114" s="0" t="s">
        <v>144</v>
      </c>
      <c r="B114" s="2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P114" s="0" t="n">
        <v>48.1</v>
      </c>
    </row>
    <row r="115" customFormat="false" ht="15" hidden="false" customHeight="false" outlineLevel="0" collapsed="false">
      <c r="A115" s="0" t="s">
        <v>145</v>
      </c>
      <c r="B115" s="2" t="n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P115" s="0" t="n">
        <v>61.5</v>
      </c>
    </row>
    <row r="116" customFormat="false" ht="15" hidden="false" customHeight="false" outlineLevel="0" collapsed="false">
      <c r="A116" s="0" t="s">
        <v>146</v>
      </c>
      <c r="B116" s="2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P116" s="0" t="n">
        <v>63.2</v>
      </c>
    </row>
    <row r="117" customFormat="false" ht="15" hidden="false" customHeight="false" outlineLevel="0" collapsed="false">
      <c r="A117" s="0" t="s">
        <v>147</v>
      </c>
      <c r="B117" s="2" t="n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P117" s="0" t="n">
        <v>71.9</v>
      </c>
    </row>
    <row r="118" customFormat="false" ht="15" hidden="false" customHeight="false" outlineLevel="0" collapsed="false">
      <c r="A118" s="0" t="s">
        <v>148</v>
      </c>
      <c r="B118" s="2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P118" s="0" t="n">
        <v>62.7</v>
      </c>
    </row>
    <row r="119" customFormat="false" ht="15" hidden="false" customHeight="false" outlineLevel="0" collapsed="false">
      <c r="A119" s="0" t="s">
        <v>149</v>
      </c>
      <c r="B119" s="2" t="n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P119" s="0" t="n">
        <v>51.5</v>
      </c>
    </row>
    <row r="120" customFormat="false" ht="15" hidden="false" customHeight="false" outlineLevel="0" collapsed="false">
      <c r="A120" s="0" t="s">
        <v>150</v>
      </c>
      <c r="B120" s="2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P120" s="0" t="n">
        <v>39.1</v>
      </c>
    </row>
    <row r="121" customFormat="false" ht="15" hidden="false" customHeight="false" outlineLevel="0" collapsed="false">
      <c r="A121" s="0" t="s">
        <v>151</v>
      </c>
      <c r="B121" s="2" t="n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P121" s="0" t="n">
        <v>43.8</v>
      </c>
    </row>
    <row r="122" customFormat="false" ht="15" hidden="false" customHeight="false" outlineLevel="0" collapsed="false">
      <c r="A122" s="0" t="s">
        <v>152</v>
      </c>
      <c r="B122" s="2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P122" s="0" t="n">
        <v>59.9</v>
      </c>
    </row>
    <row r="123" customFormat="false" ht="15" hidden="false" customHeight="false" outlineLevel="0" collapsed="false">
      <c r="A123" s="0" t="s">
        <v>153</v>
      </c>
      <c r="B123" s="2" t="n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P123" s="0" t="n">
        <v>71.4</v>
      </c>
    </row>
    <row r="124" customFormat="false" ht="15" hidden="false" customHeight="false" outlineLevel="0" collapsed="false">
      <c r="A124" s="0" t="s">
        <v>154</v>
      </c>
      <c r="B124" s="2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P124" s="0" t="n">
        <v>36.1</v>
      </c>
    </row>
    <row r="125" customFormat="false" ht="15" hidden="false" customHeight="false" outlineLevel="0" collapsed="false">
      <c r="A125" s="0" t="s">
        <v>155</v>
      </c>
      <c r="B125" s="2" t="n">
        <v>45807</v>
      </c>
      <c r="C125" s="3" t="s">
        <v>17</v>
      </c>
      <c r="D125" s="3" t="s">
        <v>23</v>
      </c>
      <c r="F125" s="3" t="s">
        <v>20</v>
      </c>
      <c r="G125" s="3" t="s">
        <v>21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P125" s="0" t="n">
        <v>47.9</v>
      </c>
    </row>
    <row r="126" customFormat="false" ht="15" hidden="false" customHeight="false" outlineLevel="0" collapsed="false">
      <c r="A126" s="0" t="s">
        <v>156</v>
      </c>
      <c r="B126" s="2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P126" s="0" t="n">
        <v>62.5</v>
      </c>
    </row>
    <row r="127" customFormat="false" ht="15" hidden="false" customHeight="false" outlineLevel="0" collapsed="false">
      <c r="A127" s="0" t="s">
        <v>157</v>
      </c>
      <c r="B127" s="2" t="n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P127" s="0" t="n">
        <v>56.9</v>
      </c>
    </row>
    <row r="128" customFormat="false" ht="15" hidden="false" customHeight="false" outlineLevel="0" collapsed="false">
      <c r="A128" s="0" t="s">
        <v>158</v>
      </c>
      <c r="B128" s="2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P128" s="0" t="n">
        <v>64.7</v>
      </c>
    </row>
    <row r="129" customFormat="false" ht="15" hidden="false" customHeight="false" outlineLevel="0" collapsed="false">
      <c r="A129" s="0" t="s">
        <v>159</v>
      </c>
      <c r="B129" s="2" t="n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P129" s="0" t="n">
        <v>64</v>
      </c>
    </row>
    <row r="130" customFormat="false" ht="15" hidden="false" customHeight="false" outlineLevel="0" collapsed="false">
      <c r="A130" s="0" t="s">
        <v>160</v>
      </c>
      <c r="B130" s="2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P130" s="0" t="n">
        <v>75.2</v>
      </c>
    </row>
    <row r="131" customFormat="false" ht="15" hidden="false" customHeight="false" outlineLevel="0" collapsed="false">
      <c r="A131" s="0" t="s">
        <v>161</v>
      </c>
      <c r="B131" s="2" t="n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P131" s="0" t="n">
        <v>79</v>
      </c>
    </row>
    <row r="132" customFormat="false" ht="15" hidden="false" customHeight="false" outlineLevel="0" collapsed="false">
      <c r="A132" s="0" t="s">
        <v>162</v>
      </c>
      <c r="B132" s="2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P132" s="0" t="n">
        <v>33</v>
      </c>
    </row>
    <row r="133" customFormat="false" ht="15" hidden="false" customHeight="false" outlineLevel="0" collapsed="false">
      <c r="A133" s="0" t="s">
        <v>163</v>
      </c>
      <c r="B133" s="2" t="n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P133" s="0" t="n">
        <v>67.9</v>
      </c>
    </row>
    <row r="134" customFormat="false" ht="15" hidden="false" customHeight="false" outlineLevel="0" collapsed="false">
      <c r="A134" s="0" t="s">
        <v>164</v>
      </c>
      <c r="B134" s="2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P134" s="0" t="n">
        <v>42.2</v>
      </c>
    </row>
    <row r="135" customFormat="false" ht="15" hidden="false" customHeight="false" outlineLevel="0" collapsed="false">
      <c r="A135" s="0" t="s">
        <v>165</v>
      </c>
      <c r="B135" s="2" t="n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P135" s="0" t="n">
        <v>43.4</v>
      </c>
    </row>
    <row r="136" customFormat="false" ht="15" hidden="false" customHeight="false" outlineLevel="0" collapsed="false">
      <c r="A136" s="0" t="s">
        <v>166</v>
      </c>
      <c r="B136" s="2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P136" s="0" t="n">
        <v>54.4</v>
      </c>
    </row>
    <row r="137" customFormat="false" ht="15" hidden="false" customHeight="false" outlineLevel="0" collapsed="false">
      <c r="A137" s="0" t="s">
        <v>167</v>
      </c>
      <c r="B137" s="2" t="n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P137" s="0" t="n">
        <v>45.7</v>
      </c>
    </row>
    <row r="138" customFormat="false" ht="15" hidden="false" customHeight="false" outlineLevel="0" collapsed="false">
      <c r="A138" s="0" t="s">
        <v>168</v>
      </c>
      <c r="B138" s="2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3</v>
      </c>
      <c r="N138" s="0" t="n">
        <v>0</v>
      </c>
      <c r="P138" s="0" t="n">
        <v>32</v>
      </c>
    </row>
    <row r="139" customFormat="false" ht="15" hidden="false" customHeight="false" outlineLevel="0" collapsed="false">
      <c r="A139" s="0" t="s">
        <v>169</v>
      </c>
      <c r="B139" s="2" t="n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P139" s="0" t="n">
        <v>70.9</v>
      </c>
    </row>
    <row r="140" customFormat="false" ht="15" hidden="false" customHeight="false" outlineLevel="0" collapsed="false">
      <c r="A140" s="0" t="s">
        <v>170</v>
      </c>
      <c r="B140" s="2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P140" s="0" t="n">
        <v>59.1</v>
      </c>
    </row>
    <row r="141" customFormat="false" ht="15" hidden="false" customHeight="false" outlineLevel="0" collapsed="false">
      <c r="A141" s="0" t="s">
        <v>171</v>
      </c>
      <c r="B141" s="2" t="n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P141" s="0" t="n">
        <v>62.4</v>
      </c>
    </row>
    <row r="142" customFormat="false" ht="15" hidden="false" customHeight="false" outlineLevel="0" collapsed="false">
      <c r="A142" s="0" t="s">
        <v>172</v>
      </c>
      <c r="B142" s="2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P142" s="0" t="n">
        <v>49.6</v>
      </c>
    </row>
    <row r="143" customFormat="false" ht="15" hidden="false" customHeight="false" outlineLevel="0" collapsed="false">
      <c r="A143" s="0" t="s">
        <v>173</v>
      </c>
      <c r="B143" s="2" t="n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404.4</v>
      </c>
      <c r="M143" s="0" t="n">
        <v>0</v>
      </c>
      <c r="N143" s="0" t="n">
        <v>0</v>
      </c>
      <c r="O143" s="0" t="n">
        <v>9</v>
      </c>
      <c r="P143" s="0" t="n">
        <v>80.6</v>
      </c>
    </row>
    <row r="144" customFormat="false" ht="15" hidden="false" customHeight="false" outlineLevel="0" collapsed="false">
      <c r="A144" s="0" t="s">
        <v>174</v>
      </c>
      <c r="B144" s="2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P144" s="0" t="n">
        <v>47.9</v>
      </c>
    </row>
    <row r="145" customFormat="false" ht="15" hidden="false" customHeight="false" outlineLevel="0" collapsed="false">
      <c r="A145" s="0" t="s">
        <v>175</v>
      </c>
      <c r="B145" s="2" t="n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P145" s="0" t="n">
        <v>54.8</v>
      </c>
    </row>
    <row r="146" customFormat="false" ht="15" hidden="false" customHeight="false" outlineLevel="0" collapsed="false">
      <c r="A146" s="0" t="s">
        <v>176</v>
      </c>
      <c r="B146" s="2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P146" s="0" t="n">
        <v>53.9</v>
      </c>
    </row>
    <row r="147" customFormat="false" ht="15" hidden="false" customHeight="false" outlineLevel="0" collapsed="false">
      <c r="A147" s="0" t="s">
        <v>177</v>
      </c>
      <c r="B147" s="2" t="n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P147" s="0" t="n">
        <v>41.3</v>
      </c>
    </row>
    <row r="148" customFormat="false" ht="15" hidden="false" customHeight="false" outlineLevel="0" collapsed="false">
      <c r="A148" s="0" t="s">
        <v>178</v>
      </c>
      <c r="B148" s="2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P148" s="0" t="n">
        <v>38.9</v>
      </c>
    </row>
    <row r="149" customFormat="false" ht="15" hidden="false" customHeight="false" outlineLevel="0" collapsed="false">
      <c r="A149" s="0" t="s">
        <v>179</v>
      </c>
      <c r="B149" s="2" t="n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P149" s="0" t="n">
        <v>63.6</v>
      </c>
    </row>
    <row r="150" customFormat="false" ht="15" hidden="false" customHeight="false" outlineLevel="0" collapsed="false">
      <c r="A150" s="0" t="s">
        <v>180</v>
      </c>
      <c r="B150" s="2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577.94</v>
      </c>
      <c r="M150" s="0" t="n">
        <v>0</v>
      </c>
      <c r="N150" s="0" t="n">
        <v>0</v>
      </c>
      <c r="O150" s="0" t="n">
        <v>9</v>
      </c>
      <c r="P150" s="0" t="n">
        <v>76.6</v>
      </c>
    </row>
    <row r="151" customFormat="false" ht="15" hidden="false" customHeight="false" outlineLevel="0" collapsed="false">
      <c r="A151" s="0" t="s">
        <v>181</v>
      </c>
      <c r="B151" s="2" t="n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P151" s="0" t="n">
        <v>67.6</v>
      </c>
    </row>
    <row r="152" customFormat="false" ht="15" hidden="false" customHeight="false" outlineLevel="0" collapsed="false">
      <c r="A152" s="0" t="s">
        <v>182</v>
      </c>
      <c r="B152" s="2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P152" s="0" t="n">
        <v>43.1</v>
      </c>
    </row>
    <row r="153" customFormat="false" ht="15" hidden="false" customHeight="false" outlineLevel="0" collapsed="false">
      <c r="A153" s="0" t="s">
        <v>183</v>
      </c>
      <c r="B153" s="2" t="n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P153" s="0" t="n">
        <v>58.3</v>
      </c>
    </row>
    <row r="154" customFormat="false" ht="15" hidden="false" customHeight="false" outlineLevel="0" collapsed="false">
      <c r="A154" s="0" t="s">
        <v>184</v>
      </c>
      <c r="B154" s="2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P154" s="0" t="n">
        <v>69.8</v>
      </c>
    </row>
    <row r="155" customFormat="false" ht="15" hidden="false" customHeight="false" outlineLevel="0" collapsed="false">
      <c r="A155" s="0" t="s">
        <v>185</v>
      </c>
      <c r="B155" s="2" t="n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5" hidden="false" customHeight="false" outlineLevel="0" collapsed="false">
      <c r="A156" s="0" t="s">
        <v>186</v>
      </c>
      <c r="B156" s="2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P156" s="0" t="n">
        <v>41.9</v>
      </c>
    </row>
    <row r="157" customFormat="false" ht="15" hidden="false" customHeight="false" outlineLevel="0" collapsed="false">
      <c r="A157" s="0" t="s">
        <v>187</v>
      </c>
      <c r="B157" s="2" t="n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P157" s="0" t="n">
        <v>33.1</v>
      </c>
    </row>
    <row r="158" customFormat="false" ht="15" hidden="false" customHeight="false" outlineLevel="0" collapsed="false">
      <c r="A158" s="0" t="s">
        <v>188</v>
      </c>
      <c r="B158" s="2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P158" s="0" t="n">
        <v>58.6</v>
      </c>
    </row>
    <row r="159" customFormat="false" ht="15" hidden="false" customHeight="false" outlineLevel="0" collapsed="false">
      <c r="A159" s="0" t="s">
        <v>189</v>
      </c>
      <c r="B159" s="2" t="n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P159" s="0" t="n">
        <v>55.7</v>
      </c>
    </row>
    <row r="160" customFormat="false" ht="15" hidden="false" customHeight="false" outlineLevel="0" collapsed="false">
      <c r="A160" s="0" t="s">
        <v>190</v>
      </c>
      <c r="B160" s="2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0</v>
      </c>
      <c r="P160" s="0" t="n">
        <v>64.9</v>
      </c>
    </row>
    <row r="161" customFormat="false" ht="15" hidden="false" customHeight="false" outlineLevel="0" collapsed="false">
      <c r="A161" s="0" t="s">
        <v>191</v>
      </c>
      <c r="B161" s="2" t="n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P161" s="0" t="n">
        <v>72.3</v>
      </c>
    </row>
    <row r="162" customFormat="false" ht="15" hidden="false" customHeight="false" outlineLevel="0" collapsed="false">
      <c r="A162" s="0" t="s">
        <v>192</v>
      </c>
      <c r="B162" s="2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P162" s="0" t="n">
        <v>42.1</v>
      </c>
    </row>
    <row r="163" customFormat="false" ht="15" hidden="false" customHeight="false" outlineLevel="0" collapsed="false">
      <c r="A163" s="0" t="s">
        <v>193</v>
      </c>
      <c r="B163" s="2" t="n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</row>
    <row r="164" customFormat="false" ht="15" hidden="false" customHeight="false" outlineLevel="0" collapsed="false">
      <c r="A164" s="0" t="s">
        <v>194</v>
      </c>
      <c r="B164" s="2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P164" s="0" t="n">
        <v>64.8</v>
      </c>
    </row>
    <row r="165" customFormat="false" ht="15" hidden="false" customHeight="false" outlineLevel="0" collapsed="false">
      <c r="A165" s="0" t="s">
        <v>195</v>
      </c>
      <c r="B165" s="2" t="n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P165" s="0" t="n">
        <v>72.1</v>
      </c>
    </row>
    <row r="166" customFormat="false" ht="15" hidden="false" customHeight="false" outlineLevel="0" collapsed="false">
      <c r="A166" s="0" t="s">
        <v>196</v>
      </c>
      <c r="B166" s="2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P166" s="0" t="n">
        <v>50.6</v>
      </c>
    </row>
    <row r="167" customFormat="false" ht="15" hidden="false" customHeight="false" outlineLevel="0" collapsed="false">
      <c r="A167" s="0" t="s">
        <v>197</v>
      </c>
      <c r="B167" s="2" t="n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1281.25</v>
      </c>
      <c r="M167" s="0" t="n">
        <v>1</v>
      </c>
      <c r="N167" s="0" t="n">
        <v>0</v>
      </c>
      <c r="O167" s="0" t="n">
        <v>9</v>
      </c>
      <c r="P167" s="0" t="n">
        <v>43.4</v>
      </c>
    </row>
    <row r="168" customFormat="false" ht="15" hidden="false" customHeight="false" outlineLevel="0" collapsed="false">
      <c r="A168" s="0" t="s">
        <v>198</v>
      </c>
      <c r="B168" s="2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P168" s="0" t="n">
        <v>59.7</v>
      </c>
    </row>
    <row r="169" customFormat="false" ht="15" hidden="false" customHeight="false" outlineLevel="0" collapsed="false">
      <c r="A169" s="0" t="s">
        <v>199</v>
      </c>
      <c r="B169" s="2" t="n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</row>
    <row r="170" customFormat="false" ht="15" hidden="false" customHeight="false" outlineLevel="0" collapsed="false">
      <c r="A170" s="0" t="s">
        <v>200</v>
      </c>
      <c r="B170" s="2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P170" s="0" t="n">
        <v>54.5</v>
      </c>
    </row>
    <row r="171" customFormat="false" ht="15" hidden="false" customHeight="false" outlineLevel="0" collapsed="false">
      <c r="A171" s="0" t="s">
        <v>201</v>
      </c>
      <c r="B171" s="2" t="n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P171" s="0" t="n">
        <v>71.1</v>
      </c>
    </row>
    <row r="172" customFormat="false" ht="15" hidden="false" customHeight="false" outlineLevel="0" collapsed="false">
      <c r="A172" s="0" t="s">
        <v>202</v>
      </c>
      <c r="B172" s="2" t="n">
        <v>45806</v>
      </c>
      <c r="C172" s="3" t="s">
        <v>17</v>
      </c>
      <c r="D172" s="3" t="s">
        <v>28</v>
      </c>
      <c r="F172" s="3" t="s">
        <v>29</v>
      </c>
      <c r="G172" s="3" t="s">
        <v>26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P172" s="0" t="n">
        <v>44.4</v>
      </c>
    </row>
    <row r="173" customFormat="false" ht="15" hidden="false" customHeight="false" outlineLevel="0" collapsed="false">
      <c r="A173" s="0" t="s">
        <v>203</v>
      </c>
      <c r="B173" s="2" t="n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P173" s="0" t="n">
        <v>61.7</v>
      </c>
    </row>
    <row r="174" customFormat="false" ht="15" hidden="false" customHeight="false" outlineLevel="0" collapsed="false">
      <c r="A174" s="0" t="s">
        <v>204</v>
      </c>
      <c r="B174" s="2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P174" s="0" t="n">
        <v>81.3</v>
      </c>
    </row>
    <row r="175" customFormat="false" ht="15" hidden="false" customHeight="false" outlineLevel="0" collapsed="false">
      <c r="A175" s="0" t="s">
        <v>205</v>
      </c>
      <c r="B175" s="2" t="n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0</v>
      </c>
      <c r="P175" s="0" t="n">
        <v>28.7</v>
      </c>
    </row>
    <row r="176" customFormat="false" ht="15" hidden="false" customHeight="false" outlineLevel="0" collapsed="false">
      <c r="A176" s="0" t="s">
        <v>206</v>
      </c>
      <c r="B176" s="2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P176" s="0" t="n">
        <v>53</v>
      </c>
    </row>
    <row r="177" customFormat="false" ht="15" hidden="false" customHeight="false" outlineLevel="0" collapsed="false">
      <c r="A177" s="0" t="s">
        <v>207</v>
      </c>
      <c r="B177" s="2" t="n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P177" s="0" t="n">
        <v>54.9</v>
      </c>
    </row>
    <row r="178" customFormat="false" ht="15" hidden="false" customHeight="false" outlineLevel="0" collapsed="false">
      <c r="A178" s="0" t="s">
        <v>208</v>
      </c>
      <c r="B178" s="2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P178" s="0" t="n">
        <v>58.2</v>
      </c>
    </row>
    <row r="179" customFormat="false" ht="15" hidden="false" customHeight="false" outlineLevel="0" collapsed="false">
      <c r="A179" s="0" t="s">
        <v>209</v>
      </c>
      <c r="B179" s="2" t="n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P179" s="0" t="n">
        <v>80.6</v>
      </c>
    </row>
    <row r="180" customFormat="false" ht="15" hidden="false" customHeight="false" outlineLevel="0" collapsed="false">
      <c r="A180" s="0" t="s">
        <v>210</v>
      </c>
      <c r="B180" s="2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0" t="n">
        <v>1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P180" s="0" t="n">
        <v>38.4</v>
      </c>
    </row>
    <row r="181" customFormat="false" ht="15" hidden="false" customHeight="false" outlineLevel="0" collapsed="false">
      <c r="A181" s="0" t="s">
        <v>211</v>
      </c>
      <c r="B181" s="2" t="n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P181" s="0" t="n">
        <v>56.1</v>
      </c>
    </row>
    <row r="182" customFormat="false" ht="15" hidden="false" customHeight="false" outlineLevel="0" collapsed="false">
      <c r="A182" s="0" t="s">
        <v>212</v>
      </c>
      <c r="B182" s="2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P182" s="0" t="n">
        <v>62.6</v>
      </c>
    </row>
    <row r="183" customFormat="false" ht="15" hidden="false" customHeight="false" outlineLevel="0" collapsed="false">
      <c r="A183" s="0" t="s">
        <v>213</v>
      </c>
      <c r="B183" s="2" t="n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P183" s="0" t="n">
        <v>36.3</v>
      </c>
    </row>
    <row r="184" customFormat="false" ht="15" hidden="false" customHeight="false" outlineLevel="0" collapsed="false">
      <c r="A184" s="0" t="s">
        <v>214</v>
      </c>
      <c r="B184" s="2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P184" s="0" t="n">
        <v>52.1</v>
      </c>
    </row>
    <row r="185" customFormat="false" ht="15" hidden="false" customHeight="false" outlineLevel="0" collapsed="false">
      <c r="A185" s="0" t="s">
        <v>215</v>
      </c>
      <c r="B185" s="2" t="n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P185" s="0" t="n">
        <v>45.1</v>
      </c>
    </row>
    <row r="186" customFormat="false" ht="15" hidden="false" customHeight="false" outlineLevel="0" collapsed="false">
      <c r="A186" s="0" t="s">
        <v>216</v>
      </c>
      <c r="B186" s="2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P186" s="0" t="n">
        <v>67.5</v>
      </c>
    </row>
    <row r="187" customFormat="false" ht="15" hidden="false" customHeight="false" outlineLevel="0" collapsed="false">
      <c r="A187" s="0" t="s">
        <v>217</v>
      </c>
      <c r="B187" s="2" t="n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P187" s="0" t="n">
        <v>80</v>
      </c>
    </row>
    <row r="188" customFormat="false" ht="15" hidden="false" customHeight="false" outlineLevel="0" collapsed="false">
      <c r="A188" s="0" t="s">
        <v>218</v>
      </c>
      <c r="B188" s="2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P188" s="0" t="n">
        <v>56.4</v>
      </c>
    </row>
    <row r="189" customFormat="false" ht="15" hidden="false" customHeight="false" outlineLevel="0" collapsed="false">
      <c r="A189" s="0" t="s">
        <v>219</v>
      </c>
      <c r="B189" s="2" t="n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P189" s="0" t="n">
        <v>55.4</v>
      </c>
    </row>
    <row r="190" customFormat="false" ht="15" hidden="false" customHeight="false" outlineLevel="0" collapsed="false">
      <c r="A190" s="0" t="s">
        <v>220</v>
      </c>
      <c r="B190" s="2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P190" s="0" t="n">
        <v>67.9</v>
      </c>
    </row>
    <row r="191" customFormat="false" ht="15" hidden="false" customHeight="false" outlineLevel="0" collapsed="false">
      <c r="A191" s="0" t="s">
        <v>221</v>
      </c>
      <c r="B191" s="2" t="n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P191" s="0" t="n">
        <v>62.5</v>
      </c>
    </row>
    <row r="192" customFormat="false" ht="15" hidden="false" customHeight="false" outlineLevel="0" collapsed="false">
      <c r="A192" s="0" t="s">
        <v>222</v>
      </c>
      <c r="B192" s="2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P192" s="0" t="n">
        <v>54.3</v>
      </c>
    </row>
    <row r="193" customFormat="false" ht="15" hidden="false" customHeight="false" outlineLevel="0" collapsed="false">
      <c r="A193" s="0" t="s">
        <v>223</v>
      </c>
      <c r="B193" s="2" t="n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P193" s="0" t="n">
        <v>37.5</v>
      </c>
    </row>
    <row r="194" customFormat="false" ht="15" hidden="false" customHeight="false" outlineLevel="0" collapsed="false">
      <c r="A194" s="0" t="s">
        <v>224</v>
      </c>
      <c r="B194" s="2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P194" s="0" t="n">
        <v>52.6</v>
      </c>
    </row>
    <row r="195" customFormat="false" ht="15" hidden="false" customHeight="false" outlineLevel="0" collapsed="false">
      <c r="A195" s="0" t="s">
        <v>225</v>
      </c>
      <c r="B195" s="2" t="n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P195" s="0" t="n">
        <v>46.1</v>
      </c>
    </row>
    <row r="196" customFormat="false" ht="15" hidden="false" customHeight="false" outlineLevel="0" collapsed="false">
      <c r="A196" s="0" t="s">
        <v>226</v>
      </c>
      <c r="B196" s="2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P196" s="0" t="n">
        <v>54.7</v>
      </c>
    </row>
    <row r="197" customFormat="false" ht="15" hidden="false" customHeight="false" outlineLevel="0" collapsed="false">
      <c r="A197" s="0" t="s">
        <v>227</v>
      </c>
      <c r="B197" s="2" t="n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P197" s="0" t="n">
        <v>74.2</v>
      </c>
    </row>
    <row r="198" customFormat="false" ht="15" hidden="false" customHeight="false" outlineLevel="0" collapsed="false">
      <c r="A198" s="0" t="s">
        <v>228</v>
      </c>
      <c r="B198" s="2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1052.8</v>
      </c>
      <c r="M198" s="0" t="n">
        <v>2</v>
      </c>
      <c r="N198" s="0" t="n">
        <v>0</v>
      </c>
      <c r="O198" s="0" t="n">
        <v>6</v>
      </c>
      <c r="P198" s="0" t="n">
        <v>64.7</v>
      </c>
    </row>
    <row r="199" customFormat="false" ht="15" hidden="false" customHeight="false" outlineLevel="0" collapsed="false">
      <c r="A199" s="0" t="s">
        <v>229</v>
      </c>
      <c r="B199" s="2" t="n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P199" s="0" t="n">
        <v>65.9</v>
      </c>
    </row>
    <row r="200" customFormat="false" ht="15" hidden="false" customHeight="false" outlineLevel="0" collapsed="false">
      <c r="A200" s="0" t="s">
        <v>230</v>
      </c>
      <c r="B200" s="2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P200" s="0" t="n">
        <v>64</v>
      </c>
    </row>
    <row r="201" customFormat="false" ht="15" hidden="false" customHeight="false" outlineLevel="0" collapsed="false">
      <c r="A201" s="0" t="s">
        <v>231</v>
      </c>
      <c r="B201" s="2" t="n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P201" s="0" t="n">
        <v>57.2</v>
      </c>
    </row>
    <row r="202" customFormat="false" ht="15" hidden="false" customHeight="false" outlineLevel="0" collapsed="false">
      <c r="A202" s="0" t="s">
        <v>232</v>
      </c>
      <c r="B202" s="2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P202" s="0" t="n">
        <v>80.5</v>
      </c>
    </row>
    <row r="203" customFormat="false" ht="15" hidden="false" customHeight="false" outlineLevel="0" collapsed="false">
      <c r="A203" s="0" t="s">
        <v>233</v>
      </c>
      <c r="B203" s="2" t="n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P203" s="0" t="n">
        <v>53.9</v>
      </c>
    </row>
    <row r="204" customFormat="false" ht="15" hidden="false" customHeight="false" outlineLevel="0" collapsed="false">
      <c r="A204" s="0" t="s">
        <v>234</v>
      </c>
      <c r="B204" s="2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P204" s="0" t="n">
        <v>77.5</v>
      </c>
    </row>
    <row r="205" customFormat="false" ht="15" hidden="false" customHeight="false" outlineLevel="0" collapsed="false">
      <c r="A205" s="0" t="s">
        <v>235</v>
      </c>
      <c r="B205" s="2" t="n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P205" s="0" t="n">
        <v>84.2</v>
      </c>
    </row>
    <row r="206" customFormat="false" ht="15" hidden="false" customHeight="false" outlineLevel="0" collapsed="false">
      <c r="A206" s="0" t="s">
        <v>236</v>
      </c>
      <c r="B206" s="2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P206" s="0" t="n">
        <v>54.9</v>
      </c>
    </row>
    <row r="207" customFormat="false" ht="15" hidden="false" customHeight="false" outlineLevel="0" collapsed="false">
      <c r="A207" s="0" t="s">
        <v>237</v>
      </c>
      <c r="B207" s="2" t="n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P207" s="0" t="n">
        <v>69.3</v>
      </c>
    </row>
    <row r="208" customFormat="false" ht="15" hidden="false" customHeight="false" outlineLevel="0" collapsed="false">
      <c r="A208" s="0" t="s">
        <v>238</v>
      </c>
      <c r="B208" s="2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2</v>
      </c>
      <c r="N208" s="0" t="n">
        <v>0</v>
      </c>
      <c r="P208" s="0" t="n">
        <v>42.3</v>
      </c>
    </row>
    <row r="209" customFormat="false" ht="15" hidden="false" customHeight="false" outlineLevel="0" collapsed="false">
      <c r="A209" s="0" t="s">
        <v>239</v>
      </c>
      <c r="B209" s="2" t="n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P209" s="0" t="n">
        <v>69.6</v>
      </c>
    </row>
    <row r="210" customFormat="false" ht="15" hidden="false" customHeight="false" outlineLevel="0" collapsed="false">
      <c r="A210" s="0" t="s">
        <v>240</v>
      </c>
      <c r="B210" s="2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P210" s="0" t="n">
        <v>40.7</v>
      </c>
    </row>
    <row r="211" customFormat="false" ht="15" hidden="false" customHeight="false" outlineLevel="0" collapsed="false">
      <c r="A211" s="0" t="s">
        <v>241</v>
      </c>
      <c r="B211" s="2" t="n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P211" s="0" t="n">
        <v>54</v>
      </c>
    </row>
    <row r="212" customFormat="false" ht="15" hidden="false" customHeight="false" outlineLevel="0" collapsed="false">
      <c r="A212" s="0" t="s">
        <v>242</v>
      </c>
      <c r="B212" s="2" t="n">
        <v>45739</v>
      </c>
      <c r="C212" s="3" t="s">
        <v>17</v>
      </c>
      <c r="D212" s="3" t="s">
        <v>28</v>
      </c>
      <c r="F212" s="3" t="s">
        <v>39</v>
      </c>
      <c r="G212" s="3" t="s">
        <v>26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553.37</v>
      </c>
      <c r="M212" s="0" t="n">
        <v>0</v>
      </c>
      <c r="N212" s="0" t="n">
        <v>0</v>
      </c>
      <c r="O212" s="0" t="n">
        <v>5</v>
      </c>
      <c r="P212" s="0" t="n">
        <v>46.3</v>
      </c>
    </row>
    <row r="213" customFormat="false" ht="15" hidden="false" customHeight="false" outlineLevel="0" collapsed="false">
      <c r="A213" s="0" t="s">
        <v>243</v>
      </c>
      <c r="B213" s="2" t="n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P213" s="0" t="n">
        <v>64.2</v>
      </c>
    </row>
    <row r="214" customFormat="false" ht="15" hidden="false" customHeight="false" outlineLevel="0" collapsed="false">
      <c r="A214" s="0" t="s">
        <v>244</v>
      </c>
      <c r="B214" s="2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P214" s="0" t="n">
        <v>75.2</v>
      </c>
    </row>
    <row r="215" customFormat="false" ht="15" hidden="false" customHeight="false" outlineLevel="0" collapsed="false">
      <c r="A215" s="0" t="s">
        <v>245</v>
      </c>
      <c r="B215" s="2" t="n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P215" s="0" t="n">
        <v>60.9</v>
      </c>
    </row>
    <row r="216" customFormat="false" ht="15" hidden="false" customHeight="false" outlineLevel="0" collapsed="false">
      <c r="A216" s="0" t="s">
        <v>246</v>
      </c>
      <c r="B216" s="2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P216" s="0" t="n">
        <v>62.1</v>
      </c>
    </row>
    <row r="217" customFormat="false" ht="15" hidden="false" customHeight="false" outlineLevel="0" collapsed="false">
      <c r="A217" s="0" t="s">
        <v>247</v>
      </c>
      <c r="B217" s="2" t="n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P217" s="0" t="n">
        <v>45.4</v>
      </c>
    </row>
    <row r="218" customFormat="false" ht="15" hidden="false" customHeight="false" outlineLevel="0" collapsed="false">
      <c r="A218" s="0" t="s">
        <v>248</v>
      </c>
      <c r="B218" s="2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P218" s="0" t="n">
        <v>53.3</v>
      </c>
    </row>
    <row r="219" customFormat="false" ht="15" hidden="false" customHeight="false" outlineLevel="0" collapsed="false">
      <c r="A219" s="0" t="s">
        <v>249</v>
      </c>
      <c r="B219" s="2" t="n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5" hidden="false" customHeight="false" outlineLevel="0" collapsed="false">
      <c r="A220" s="0" t="s">
        <v>250</v>
      </c>
      <c r="B220" s="2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P220" s="0" t="n">
        <v>38.2</v>
      </c>
    </row>
    <row r="221" customFormat="false" ht="15" hidden="false" customHeight="false" outlineLevel="0" collapsed="false">
      <c r="A221" s="0" t="s">
        <v>251</v>
      </c>
      <c r="B221" s="2" t="n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3</v>
      </c>
      <c r="N221" s="0" t="n">
        <v>0</v>
      </c>
      <c r="P221" s="0" t="n">
        <v>59</v>
      </c>
    </row>
    <row r="222" customFormat="false" ht="15" hidden="false" customHeight="false" outlineLevel="0" collapsed="false">
      <c r="A222" s="0" t="s">
        <v>252</v>
      </c>
      <c r="B222" s="2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P222" s="0" t="n">
        <v>80.6</v>
      </c>
    </row>
    <row r="223" customFormat="false" ht="15" hidden="false" customHeight="false" outlineLevel="0" collapsed="false">
      <c r="A223" s="0" t="s">
        <v>253</v>
      </c>
      <c r="B223" s="2" t="n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P223" s="0" t="n">
        <v>67</v>
      </c>
    </row>
    <row r="224" customFormat="false" ht="15" hidden="false" customHeight="false" outlineLevel="0" collapsed="false">
      <c r="A224" s="0" t="s">
        <v>254</v>
      </c>
      <c r="B224" s="2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P224" s="0" t="n">
        <v>72.1</v>
      </c>
    </row>
    <row r="225" customFormat="false" ht="15" hidden="false" customHeight="false" outlineLevel="0" collapsed="false">
      <c r="A225" s="0" t="s">
        <v>255</v>
      </c>
      <c r="B225" s="2" t="n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P225" s="0" t="n">
        <v>74.1</v>
      </c>
    </row>
    <row r="226" customFormat="false" ht="15" hidden="false" customHeight="false" outlineLevel="0" collapsed="false">
      <c r="A226" s="0" t="s">
        <v>256</v>
      </c>
      <c r="B226" s="2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P226" s="0" t="n">
        <v>84.8</v>
      </c>
    </row>
    <row r="227" customFormat="false" ht="15" hidden="false" customHeight="false" outlineLevel="0" collapsed="false">
      <c r="A227" s="0" t="s">
        <v>257</v>
      </c>
      <c r="B227" s="2" t="n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P227" s="0" t="n">
        <v>33</v>
      </c>
    </row>
    <row r="228" customFormat="false" ht="15" hidden="false" customHeight="false" outlineLevel="0" collapsed="false">
      <c r="A228" s="0" t="s">
        <v>258</v>
      </c>
      <c r="B228" s="2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P228" s="0" t="n">
        <v>52.5</v>
      </c>
    </row>
    <row r="229" customFormat="false" ht="15" hidden="false" customHeight="false" outlineLevel="0" collapsed="false">
      <c r="A229" s="0" t="s">
        <v>259</v>
      </c>
      <c r="B229" s="2" t="n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P229" s="0" t="n">
        <v>66.9</v>
      </c>
    </row>
    <row r="230" customFormat="false" ht="15" hidden="false" customHeight="false" outlineLevel="0" collapsed="false">
      <c r="A230" s="0" t="s">
        <v>260</v>
      </c>
      <c r="B230" s="2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0" t="n">
        <v>1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P230" s="0" t="n">
        <v>32.7</v>
      </c>
    </row>
    <row r="231" customFormat="false" ht="15" hidden="false" customHeight="false" outlineLevel="0" collapsed="false">
      <c r="A231" s="0" t="s">
        <v>261</v>
      </c>
      <c r="B231" s="2" t="n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P231" s="0" t="n">
        <v>70.6</v>
      </c>
    </row>
    <row r="232" customFormat="false" ht="15" hidden="false" customHeight="false" outlineLevel="0" collapsed="false">
      <c r="A232" s="0" t="s">
        <v>262</v>
      </c>
      <c r="B232" s="2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P232" s="0" t="n">
        <v>69.4</v>
      </c>
    </row>
    <row r="233" customFormat="false" ht="15" hidden="false" customHeight="false" outlineLevel="0" collapsed="false">
      <c r="A233" s="0" t="s">
        <v>263</v>
      </c>
      <c r="B233" s="2" t="n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P233" s="0" t="n">
        <v>56.1</v>
      </c>
    </row>
    <row r="234" customFormat="false" ht="15" hidden="false" customHeight="false" outlineLevel="0" collapsed="false">
      <c r="A234" s="0" t="s">
        <v>264</v>
      </c>
      <c r="B234" s="2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P234" s="0" t="n">
        <v>55.8</v>
      </c>
    </row>
    <row r="235" customFormat="false" ht="15" hidden="false" customHeight="false" outlineLevel="0" collapsed="false">
      <c r="A235" s="0" t="s">
        <v>265</v>
      </c>
      <c r="B235" s="2" t="n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P235" s="0" t="n">
        <v>49.3</v>
      </c>
    </row>
    <row r="236" customFormat="false" ht="15" hidden="false" customHeight="false" outlineLevel="0" collapsed="false">
      <c r="A236" s="0" t="s">
        <v>266</v>
      </c>
      <c r="B236" s="2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P236" s="0" t="n">
        <v>71.8</v>
      </c>
    </row>
    <row r="237" customFormat="false" ht="15" hidden="false" customHeight="false" outlineLevel="0" collapsed="false">
      <c r="A237" s="0" t="s">
        <v>267</v>
      </c>
      <c r="B237" s="2" t="n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3</v>
      </c>
      <c r="N237" s="0" t="n">
        <v>0</v>
      </c>
      <c r="P237" s="0" t="n">
        <v>39.7</v>
      </c>
    </row>
    <row r="238" customFormat="false" ht="15" hidden="false" customHeight="false" outlineLevel="0" collapsed="false">
      <c r="A238" s="0" t="s">
        <v>268</v>
      </c>
      <c r="B238" s="2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P238" s="0" t="n">
        <v>45.4</v>
      </c>
    </row>
    <row r="239" customFormat="false" ht="15" hidden="false" customHeight="false" outlineLevel="0" collapsed="false">
      <c r="A239" s="0" t="s">
        <v>269</v>
      </c>
      <c r="B239" s="2" t="n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P239" s="0" t="n">
        <v>69.9</v>
      </c>
    </row>
    <row r="240" customFormat="false" ht="15" hidden="false" customHeight="false" outlineLevel="0" collapsed="false">
      <c r="A240" s="0" t="s">
        <v>270</v>
      </c>
      <c r="B240" s="2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P240" s="0" t="n">
        <v>56.1</v>
      </c>
    </row>
    <row r="241" customFormat="false" ht="15" hidden="false" customHeight="false" outlineLevel="0" collapsed="false">
      <c r="A241" s="0" t="s">
        <v>271</v>
      </c>
      <c r="B241" s="2" t="n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P241" s="0" t="n">
        <v>45.9</v>
      </c>
    </row>
    <row r="242" customFormat="false" ht="15" hidden="false" customHeight="false" outlineLevel="0" collapsed="false">
      <c r="A242" s="0" t="s">
        <v>272</v>
      </c>
      <c r="B242" s="2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P242" s="0" t="n">
        <v>65.8</v>
      </c>
    </row>
    <row r="243" customFormat="false" ht="15" hidden="false" customHeight="false" outlineLevel="0" collapsed="false">
      <c r="A243" s="0" t="s">
        <v>273</v>
      </c>
      <c r="B243" s="2" t="n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P243" s="0" t="n">
        <v>48.2</v>
      </c>
    </row>
    <row r="244" customFormat="false" ht="15" hidden="false" customHeight="false" outlineLevel="0" collapsed="false">
      <c r="A244" s="0" t="s">
        <v>274</v>
      </c>
      <c r="B244" s="2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P244" s="0" t="n">
        <v>81.1</v>
      </c>
    </row>
    <row r="245" customFormat="false" ht="15" hidden="false" customHeight="false" outlineLevel="0" collapsed="false">
      <c r="A245" s="0" t="s">
        <v>275</v>
      </c>
      <c r="B245" s="2" t="n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P245" s="0" t="n">
        <v>53.2</v>
      </c>
    </row>
    <row r="246" customFormat="false" ht="15" hidden="false" customHeight="false" outlineLevel="0" collapsed="false">
      <c r="A246" s="0" t="s">
        <v>276</v>
      </c>
      <c r="B246" s="2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P246" s="0" t="n">
        <v>57.7</v>
      </c>
    </row>
    <row r="247" customFormat="false" ht="15" hidden="false" customHeight="false" outlineLevel="0" collapsed="false">
      <c r="A247" s="0" t="s">
        <v>277</v>
      </c>
      <c r="B247" s="2" t="n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P247" s="0" t="n">
        <v>78.9</v>
      </c>
    </row>
    <row r="248" customFormat="false" ht="15" hidden="false" customHeight="false" outlineLevel="0" collapsed="false">
      <c r="A248" s="0" t="s">
        <v>278</v>
      </c>
      <c r="B248" s="2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P248" s="0" t="n">
        <v>55.7</v>
      </c>
    </row>
    <row r="249" customFormat="false" ht="15" hidden="false" customHeight="false" outlineLevel="0" collapsed="false">
      <c r="A249" s="0" t="s">
        <v>279</v>
      </c>
      <c r="B249" s="2" t="n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P249" s="0" t="n">
        <v>52.3</v>
      </c>
    </row>
    <row r="250" customFormat="false" ht="15" hidden="false" customHeight="false" outlineLevel="0" collapsed="false">
      <c r="A250" s="0" t="s">
        <v>280</v>
      </c>
      <c r="B250" s="2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P250" s="0" t="n">
        <v>51.5</v>
      </c>
    </row>
    <row r="251" customFormat="false" ht="15" hidden="false" customHeight="false" outlineLevel="0" collapsed="false">
      <c r="A251" s="0" t="s">
        <v>281</v>
      </c>
      <c r="B251" s="2" t="n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P251" s="0" t="n">
        <v>70.8</v>
      </c>
    </row>
    <row r="252" customFormat="false" ht="15" hidden="false" customHeight="false" outlineLevel="0" collapsed="false">
      <c r="A252" s="0" t="s">
        <v>282</v>
      </c>
      <c r="B252" s="2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1250.78</v>
      </c>
      <c r="M252" s="0" t="n">
        <v>0</v>
      </c>
      <c r="N252" s="0" t="n">
        <v>0</v>
      </c>
      <c r="O252" s="0" t="n">
        <v>10</v>
      </c>
      <c r="P252" s="0" t="n">
        <v>39</v>
      </c>
    </row>
    <row r="253" customFormat="false" ht="15" hidden="false" customHeight="false" outlineLevel="0" collapsed="false">
      <c r="A253" s="0" t="s">
        <v>283</v>
      </c>
      <c r="B253" s="2" t="n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P253" s="0" t="n">
        <v>61.6</v>
      </c>
    </row>
    <row r="254" customFormat="false" ht="15" hidden="false" customHeight="false" outlineLevel="0" collapsed="false">
      <c r="A254" s="0" t="s">
        <v>284</v>
      </c>
      <c r="B254" s="2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0" t="n">
        <v>1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P254" s="0" t="n">
        <v>46.8</v>
      </c>
    </row>
    <row r="255" customFormat="false" ht="15" hidden="false" customHeight="false" outlineLevel="0" collapsed="false">
      <c r="A255" s="0" t="s">
        <v>285</v>
      </c>
      <c r="B255" s="2" t="n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P255" s="0" t="n">
        <v>58.5</v>
      </c>
    </row>
    <row r="256" customFormat="false" ht="15" hidden="false" customHeight="false" outlineLevel="0" collapsed="false">
      <c r="A256" s="0" t="s">
        <v>286</v>
      </c>
      <c r="B256" s="2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P256" s="0" t="n">
        <v>70.9</v>
      </c>
    </row>
    <row r="257" customFormat="false" ht="15" hidden="false" customHeight="false" outlineLevel="0" collapsed="false">
      <c r="A257" s="0" t="s">
        <v>287</v>
      </c>
      <c r="B257" s="2" t="n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P257" s="0" t="n">
        <v>48.4</v>
      </c>
    </row>
    <row r="258" customFormat="false" ht="15" hidden="false" customHeight="false" outlineLevel="0" collapsed="false">
      <c r="A258" s="0" t="s">
        <v>288</v>
      </c>
      <c r="B258" s="2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P258" s="0" t="n">
        <v>58</v>
      </c>
    </row>
    <row r="259" customFormat="false" ht="15" hidden="false" customHeight="false" outlineLevel="0" collapsed="false">
      <c r="A259" s="0" t="s">
        <v>289</v>
      </c>
      <c r="B259" s="2" t="n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P259" s="0" t="n">
        <v>61.6</v>
      </c>
    </row>
    <row r="260" customFormat="false" ht="15" hidden="false" customHeight="false" outlineLevel="0" collapsed="false">
      <c r="A260" s="0" t="s">
        <v>290</v>
      </c>
      <c r="B260" s="2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P260" s="0" t="n">
        <v>43.2</v>
      </c>
    </row>
    <row r="261" customFormat="false" ht="15" hidden="false" customHeight="false" outlineLevel="0" collapsed="false">
      <c r="A261" s="0" t="s">
        <v>291</v>
      </c>
      <c r="B261" s="2" t="n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P261" s="0" t="n">
        <v>53.3</v>
      </c>
    </row>
    <row r="262" customFormat="false" ht="15" hidden="false" customHeight="false" outlineLevel="0" collapsed="false">
      <c r="A262" s="0" t="s">
        <v>292</v>
      </c>
      <c r="B262" s="2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P262" s="0" t="n">
        <v>33.9</v>
      </c>
    </row>
    <row r="263" customFormat="false" ht="15" hidden="false" customHeight="false" outlineLevel="0" collapsed="false">
      <c r="A263" s="0" t="s">
        <v>293</v>
      </c>
      <c r="B263" s="2" t="n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P263" s="0" t="n">
        <v>35.4</v>
      </c>
    </row>
    <row r="264" customFormat="false" ht="15" hidden="false" customHeight="false" outlineLevel="0" collapsed="false">
      <c r="A264" s="0" t="s">
        <v>294</v>
      </c>
      <c r="B264" s="2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P264" s="0" t="n">
        <v>45</v>
      </c>
    </row>
    <row r="265" customFormat="false" ht="15" hidden="false" customHeight="false" outlineLevel="0" collapsed="false">
      <c r="A265" s="0" t="s">
        <v>295</v>
      </c>
      <c r="B265" s="2" t="n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P265" s="0" t="n">
        <v>86.5</v>
      </c>
    </row>
    <row r="266" customFormat="false" ht="15" hidden="false" customHeight="false" outlineLevel="0" collapsed="false">
      <c r="A266" s="0" t="s">
        <v>296</v>
      </c>
      <c r="B266" s="2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P266" s="0" t="n">
        <v>58.1</v>
      </c>
    </row>
    <row r="267" customFormat="false" ht="15" hidden="false" customHeight="false" outlineLevel="0" collapsed="false">
      <c r="A267" s="0" t="s">
        <v>297</v>
      </c>
      <c r="B267" s="2" t="n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P267" s="0" t="n">
        <v>36.1</v>
      </c>
    </row>
    <row r="268" customFormat="false" ht="15" hidden="false" customHeight="false" outlineLevel="0" collapsed="false">
      <c r="A268" s="0" t="s">
        <v>298</v>
      </c>
      <c r="B268" s="2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P268" s="0" t="n">
        <v>62.8</v>
      </c>
    </row>
    <row r="269" customFormat="false" ht="15" hidden="false" customHeight="false" outlineLevel="0" collapsed="false">
      <c r="A269" s="0" t="s">
        <v>299</v>
      </c>
      <c r="B269" s="2" t="n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P269" s="0" t="n">
        <v>54.2</v>
      </c>
    </row>
    <row r="270" customFormat="false" ht="15" hidden="false" customHeight="false" outlineLevel="0" collapsed="false">
      <c r="A270" s="0" t="s">
        <v>300</v>
      </c>
      <c r="B270" s="2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P270" s="0" t="n">
        <v>50</v>
      </c>
    </row>
    <row r="271" customFormat="false" ht="15" hidden="false" customHeight="false" outlineLevel="0" collapsed="false">
      <c r="A271" s="0" t="s">
        <v>301</v>
      </c>
      <c r="B271" s="2" t="n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P271" s="0" t="n">
        <v>62</v>
      </c>
    </row>
    <row r="272" customFormat="false" ht="15" hidden="false" customHeight="false" outlineLevel="0" collapsed="false">
      <c r="A272" s="0" t="s">
        <v>302</v>
      </c>
      <c r="B272" s="2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P272" s="0" t="n">
        <v>29.3</v>
      </c>
    </row>
    <row r="273" customFormat="false" ht="15" hidden="false" customHeight="false" outlineLevel="0" collapsed="false">
      <c r="A273" s="0" t="s">
        <v>303</v>
      </c>
      <c r="B273" s="2" t="n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P273" s="0" t="n">
        <v>67.9</v>
      </c>
    </row>
    <row r="274" customFormat="false" ht="15" hidden="false" customHeight="false" outlineLevel="0" collapsed="false">
      <c r="A274" s="0" t="s">
        <v>304</v>
      </c>
      <c r="B274" s="2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0" t="n">
        <v>1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P274" s="0" t="n">
        <v>67.6</v>
      </c>
    </row>
    <row r="275" customFormat="false" ht="15" hidden="false" customHeight="false" outlineLevel="0" collapsed="false">
      <c r="A275" s="0" t="s">
        <v>305</v>
      </c>
      <c r="B275" s="2" t="n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P275" s="0" t="n">
        <v>67.4</v>
      </c>
    </row>
    <row r="276" customFormat="false" ht="15" hidden="false" customHeight="false" outlineLevel="0" collapsed="false">
      <c r="A276" s="0" t="s">
        <v>306</v>
      </c>
      <c r="B276" s="2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2</v>
      </c>
      <c r="N276" s="0" t="n">
        <v>0</v>
      </c>
      <c r="P276" s="0" t="n">
        <v>53</v>
      </c>
    </row>
    <row r="277" customFormat="false" ht="15" hidden="false" customHeight="false" outlineLevel="0" collapsed="false">
      <c r="A277" s="0" t="s">
        <v>307</v>
      </c>
      <c r="B277" s="2" t="n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P277" s="0" t="n">
        <v>65.5</v>
      </c>
    </row>
    <row r="278" customFormat="false" ht="15" hidden="false" customHeight="false" outlineLevel="0" collapsed="false">
      <c r="A278" s="0" t="s">
        <v>308</v>
      </c>
      <c r="B278" s="2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P278" s="0" t="n">
        <v>49.6</v>
      </c>
    </row>
    <row r="279" customFormat="false" ht="15" hidden="false" customHeight="false" outlineLevel="0" collapsed="false">
      <c r="A279" s="0" t="s">
        <v>309</v>
      </c>
      <c r="B279" s="2" t="n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P279" s="0" t="n">
        <v>74.5</v>
      </c>
    </row>
    <row r="280" customFormat="false" ht="15" hidden="false" customHeight="false" outlineLevel="0" collapsed="false">
      <c r="A280" s="0" t="s">
        <v>310</v>
      </c>
      <c r="B280" s="2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P280" s="0" t="n">
        <v>46.9</v>
      </c>
    </row>
    <row r="281" customFormat="false" ht="15" hidden="false" customHeight="false" outlineLevel="0" collapsed="false">
      <c r="A281" s="0" t="s">
        <v>311</v>
      </c>
      <c r="B281" s="2" t="n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P281" s="0" t="n">
        <v>87.1</v>
      </c>
    </row>
    <row r="282" customFormat="false" ht="15" hidden="false" customHeight="false" outlineLevel="0" collapsed="false">
      <c r="A282" s="0" t="s">
        <v>312</v>
      </c>
      <c r="B282" s="2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P282" s="0" t="n">
        <v>56</v>
      </c>
    </row>
    <row r="283" customFormat="false" ht="15" hidden="false" customHeight="false" outlineLevel="0" collapsed="false">
      <c r="A283" s="0" t="s">
        <v>313</v>
      </c>
      <c r="B283" s="2" t="n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P283" s="0" t="n">
        <v>61.7</v>
      </c>
    </row>
    <row r="284" customFormat="false" ht="15" hidden="false" customHeight="false" outlineLevel="0" collapsed="false">
      <c r="A284" s="0" t="s">
        <v>314</v>
      </c>
      <c r="B284" s="2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P284" s="0" t="n">
        <v>70.5</v>
      </c>
    </row>
    <row r="285" customFormat="false" ht="15" hidden="false" customHeight="false" outlineLevel="0" collapsed="false">
      <c r="A285" s="0" t="s">
        <v>315</v>
      </c>
      <c r="B285" s="2" t="n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P285" s="0" t="n">
        <v>33.4</v>
      </c>
    </row>
    <row r="286" customFormat="false" ht="15" hidden="false" customHeight="false" outlineLevel="0" collapsed="false">
      <c r="A286" s="0" t="s">
        <v>316</v>
      </c>
      <c r="B286" s="2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P286" s="0" t="n">
        <v>57.5</v>
      </c>
    </row>
    <row r="287" customFormat="false" ht="15" hidden="false" customHeight="false" outlineLevel="0" collapsed="false">
      <c r="A287" s="0" t="s">
        <v>317</v>
      </c>
      <c r="B287" s="2" t="n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P287" s="0" t="n">
        <v>85.7</v>
      </c>
    </row>
    <row r="288" customFormat="false" ht="15" hidden="false" customHeight="false" outlineLevel="0" collapsed="false">
      <c r="A288" s="0" t="s">
        <v>318</v>
      </c>
      <c r="B288" s="2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P288" s="0" t="n">
        <v>41.9</v>
      </c>
    </row>
    <row r="289" customFormat="false" ht="15" hidden="false" customHeight="false" outlineLevel="0" collapsed="false">
      <c r="A289" s="0" t="s">
        <v>319</v>
      </c>
      <c r="B289" s="2" t="n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P289" s="0" t="n">
        <v>70.2</v>
      </c>
    </row>
    <row r="290" customFormat="false" ht="15" hidden="false" customHeight="false" outlineLevel="0" collapsed="false">
      <c r="A290" s="0" t="s">
        <v>320</v>
      </c>
      <c r="B290" s="2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P290" s="0" t="n">
        <v>42.6</v>
      </c>
    </row>
    <row r="291" customFormat="false" ht="15" hidden="false" customHeight="false" outlineLevel="0" collapsed="false">
      <c r="A291" s="0" t="s">
        <v>321</v>
      </c>
      <c r="B291" s="2" t="n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2</v>
      </c>
      <c r="N291" s="0" t="n">
        <v>0</v>
      </c>
      <c r="P291" s="0" t="n">
        <v>30.4</v>
      </c>
    </row>
    <row r="292" customFormat="false" ht="15" hidden="false" customHeight="false" outlineLevel="0" collapsed="false">
      <c r="A292" s="0" t="s">
        <v>322</v>
      </c>
      <c r="B292" s="2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P292" s="0" t="n">
        <v>63.7</v>
      </c>
    </row>
    <row r="293" customFormat="false" ht="15" hidden="false" customHeight="false" outlineLevel="0" collapsed="false">
      <c r="A293" s="0" t="s">
        <v>323</v>
      </c>
      <c r="B293" s="2" t="n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P293" s="0" t="n">
        <v>42.7</v>
      </c>
    </row>
    <row r="294" customFormat="false" ht="15" hidden="false" customHeight="false" outlineLevel="0" collapsed="false">
      <c r="A294" s="0" t="s">
        <v>324</v>
      </c>
      <c r="B294" s="2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P294" s="0" t="n">
        <v>74.3</v>
      </c>
    </row>
    <row r="295" customFormat="false" ht="15" hidden="false" customHeight="false" outlineLevel="0" collapsed="false">
      <c r="A295" s="0" t="s">
        <v>325</v>
      </c>
      <c r="B295" s="2" t="n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P295" s="0" t="n">
        <v>40.6</v>
      </c>
    </row>
    <row r="296" customFormat="false" ht="15" hidden="false" customHeight="false" outlineLevel="0" collapsed="false">
      <c r="A296" s="0" t="s">
        <v>326</v>
      </c>
      <c r="B296" s="2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P296" s="0" t="n">
        <v>67</v>
      </c>
    </row>
    <row r="297" customFormat="false" ht="15" hidden="false" customHeight="false" outlineLevel="0" collapsed="false">
      <c r="A297" s="0" t="s">
        <v>327</v>
      </c>
      <c r="B297" s="2" t="n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P297" s="0" t="n">
        <v>51</v>
      </c>
    </row>
    <row r="298" customFormat="false" ht="15" hidden="false" customHeight="false" outlineLevel="0" collapsed="false">
      <c r="A298" s="0" t="s">
        <v>328</v>
      </c>
      <c r="B298" s="2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P298" s="0" t="n">
        <v>54.8</v>
      </c>
    </row>
    <row r="299" customFormat="false" ht="15" hidden="false" customHeight="false" outlineLevel="0" collapsed="false">
      <c r="A299" s="0" t="s">
        <v>329</v>
      </c>
      <c r="B299" s="2" t="n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P299" s="0" t="n">
        <v>40.8</v>
      </c>
    </row>
    <row r="300" customFormat="false" ht="15" hidden="false" customHeight="false" outlineLevel="0" collapsed="false">
      <c r="A300" s="0" t="s">
        <v>330</v>
      </c>
      <c r="B300" s="2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P300" s="0" t="n">
        <v>48.8</v>
      </c>
    </row>
    <row r="301" customFormat="false" ht="15" hidden="false" customHeight="false" outlineLevel="0" collapsed="false">
      <c r="A301" s="0" t="s">
        <v>331</v>
      </c>
      <c r="B301" s="2" t="n">
        <v>45681</v>
      </c>
      <c r="C301" s="3" t="s">
        <v>17</v>
      </c>
      <c r="D301" s="3" t="s">
        <v>32</v>
      </c>
      <c r="E301" s="3" t="s">
        <v>24</v>
      </c>
      <c r="G301" s="3" t="s">
        <v>21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1198.69</v>
      </c>
      <c r="M301" s="0" t="n">
        <v>1</v>
      </c>
      <c r="N301" s="0" t="n">
        <v>0</v>
      </c>
      <c r="O301" s="0" t="n">
        <v>6</v>
      </c>
      <c r="P301" s="0" t="n">
        <v>88.9</v>
      </c>
    </row>
    <row r="302" customFormat="false" ht="15" hidden="false" customHeight="false" outlineLevel="0" collapsed="false">
      <c r="A302" s="0" t="s">
        <v>332</v>
      </c>
      <c r="B302" s="2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0" t="n">
        <v>1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P302" s="0" t="n">
        <v>60.5</v>
      </c>
    </row>
    <row r="303" customFormat="false" ht="15" hidden="false" customHeight="false" outlineLevel="0" collapsed="false">
      <c r="A303" s="0" t="s">
        <v>333</v>
      </c>
      <c r="B303" s="2" t="n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P303" s="0" t="n">
        <v>63.6</v>
      </c>
    </row>
    <row r="304" customFormat="false" ht="15" hidden="false" customHeight="false" outlineLevel="0" collapsed="false">
      <c r="A304" s="0" t="s">
        <v>334</v>
      </c>
      <c r="B304" s="2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0" t="n">
        <v>1</v>
      </c>
      <c r="I304" s="0" t="n">
        <v>1</v>
      </c>
      <c r="J304" s="0" t="n">
        <v>1</v>
      </c>
      <c r="K304" s="0" t="n">
        <v>1</v>
      </c>
      <c r="L304" s="0" t="n">
        <v>6788.95</v>
      </c>
      <c r="M304" s="0" t="n">
        <v>0</v>
      </c>
      <c r="N304" s="0" t="n">
        <v>0</v>
      </c>
      <c r="O304" s="0" t="n">
        <v>17</v>
      </c>
      <c r="P304" s="0" t="n">
        <v>58.4</v>
      </c>
    </row>
    <row r="305" customFormat="false" ht="15" hidden="false" customHeight="false" outlineLevel="0" collapsed="false">
      <c r="A305" s="0" t="s">
        <v>335</v>
      </c>
      <c r="B305" s="2" t="n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P305" s="0" t="n">
        <v>52.7</v>
      </c>
    </row>
    <row r="306" customFormat="false" ht="15" hidden="false" customHeight="false" outlineLevel="0" collapsed="false">
      <c r="A306" s="0" t="s">
        <v>336</v>
      </c>
      <c r="B306" s="2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2</v>
      </c>
      <c r="N306" s="0" t="n">
        <v>0</v>
      </c>
      <c r="P306" s="0" t="n">
        <v>48.9</v>
      </c>
    </row>
    <row r="307" customFormat="false" ht="15" hidden="false" customHeight="false" outlineLevel="0" collapsed="false">
      <c r="A307" s="0" t="s">
        <v>337</v>
      </c>
      <c r="B307" s="2" t="n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P307" s="0" t="n">
        <v>79.7</v>
      </c>
    </row>
    <row r="308" customFormat="false" ht="15" hidden="false" customHeight="false" outlineLevel="0" collapsed="false">
      <c r="A308" s="0" t="s">
        <v>338</v>
      </c>
      <c r="B308" s="2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P308" s="0" t="n">
        <v>44.9</v>
      </c>
    </row>
    <row r="309" customFormat="false" ht="15" hidden="false" customHeight="false" outlineLevel="0" collapsed="false">
      <c r="A309" s="0" t="s">
        <v>339</v>
      </c>
      <c r="B309" s="2" t="n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0" t="n">
        <v>1</v>
      </c>
      <c r="I309" s="0" t="n">
        <v>1</v>
      </c>
      <c r="J309" s="0" t="n">
        <v>1</v>
      </c>
      <c r="K309" s="0" t="n">
        <v>1</v>
      </c>
      <c r="L309" s="0" t="n">
        <v>409.39</v>
      </c>
      <c r="M309" s="0" t="n">
        <v>0</v>
      </c>
      <c r="N309" s="0" t="n">
        <v>0</v>
      </c>
      <c r="O309" s="0" t="n">
        <v>10</v>
      </c>
      <c r="P309" s="0" t="n">
        <v>38.8</v>
      </c>
    </row>
    <row r="310" customFormat="false" ht="15" hidden="false" customHeight="false" outlineLevel="0" collapsed="false">
      <c r="A310" s="0" t="s">
        <v>340</v>
      </c>
      <c r="B310" s="2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P310" s="0" t="n">
        <v>70</v>
      </c>
    </row>
    <row r="311" customFormat="false" ht="15" hidden="false" customHeight="false" outlineLevel="0" collapsed="false">
      <c r="A311" s="0" t="s">
        <v>341</v>
      </c>
      <c r="B311" s="2" t="n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P311" s="0" t="n">
        <v>77.7</v>
      </c>
    </row>
    <row r="312" customFormat="false" ht="15" hidden="false" customHeight="false" outlineLevel="0" collapsed="false">
      <c r="A312" s="0" t="s">
        <v>342</v>
      </c>
      <c r="B312" s="2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P312" s="0" t="n">
        <v>71.2</v>
      </c>
    </row>
    <row r="313" customFormat="false" ht="15" hidden="false" customHeight="false" outlineLevel="0" collapsed="false">
      <c r="A313" s="0" t="s">
        <v>343</v>
      </c>
      <c r="B313" s="2" t="n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P313" s="0" t="n">
        <v>43.8</v>
      </c>
    </row>
    <row r="314" customFormat="false" ht="15" hidden="false" customHeight="false" outlineLevel="0" collapsed="false">
      <c r="A314" s="0" t="s">
        <v>344</v>
      </c>
      <c r="B314" s="2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P314" s="0" t="n">
        <v>50.9</v>
      </c>
    </row>
    <row r="315" customFormat="false" ht="15" hidden="false" customHeight="false" outlineLevel="0" collapsed="false">
      <c r="A315" s="0" t="s">
        <v>345</v>
      </c>
      <c r="B315" s="2" t="n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P315" s="0" t="n">
        <v>58.5</v>
      </c>
    </row>
    <row r="316" customFormat="false" ht="15" hidden="false" customHeight="false" outlineLevel="0" collapsed="false">
      <c r="A316" s="0" t="s">
        <v>346</v>
      </c>
      <c r="B316" s="2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0" t="n">
        <v>1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P316" s="0" t="n">
        <v>53.6</v>
      </c>
    </row>
    <row r="317" customFormat="false" ht="15" hidden="false" customHeight="false" outlineLevel="0" collapsed="false">
      <c r="A317" s="0" t="s">
        <v>347</v>
      </c>
      <c r="B317" s="2" t="n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P317" s="0" t="n">
        <v>54.9</v>
      </c>
    </row>
    <row r="318" customFormat="false" ht="15" hidden="false" customHeight="false" outlineLevel="0" collapsed="false">
      <c r="A318" s="0" t="s">
        <v>348</v>
      </c>
      <c r="B318" s="2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P318" s="0" t="n">
        <v>57.3</v>
      </c>
    </row>
    <row r="319" customFormat="false" ht="15" hidden="false" customHeight="false" outlineLevel="0" collapsed="false">
      <c r="A319" s="0" t="s">
        <v>349</v>
      </c>
      <c r="B319" s="2" t="n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P319" s="0" t="n">
        <v>52.1</v>
      </c>
    </row>
    <row r="320" customFormat="false" ht="15" hidden="false" customHeight="false" outlineLevel="0" collapsed="false">
      <c r="A320" s="0" t="s">
        <v>350</v>
      </c>
      <c r="B320" s="2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P320" s="0" t="n">
        <v>80</v>
      </c>
    </row>
    <row r="321" customFormat="false" ht="15" hidden="false" customHeight="false" outlineLevel="0" collapsed="false">
      <c r="A321" s="0" t="s">
        <v>351</v>
      </c>
      <c r="B321" s="2" t="n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P321" s="0" t="n">
        <v>39.3</v>
      </c>
    </row>
    <row r="322" customFormat="false" ht="15" hidden="false" customHeight="false" outlineLevel="0" collapsed="false">
      <c r="A322" s="0" t="s">
        <v>352</v>
      </c>
      <c r="B322" s="2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P322" s="0" t="n">
        <v>45.7</v>
      </c>
    </row>
    <row r="323" customFormat="false" ht="15" hidden="false" customHeight="false" outlineLevel="0" collapsed="false">
      <c r="A323" s="0" t="s">
        <v>353</v>
      </c>
      <c r="B323" s="2" t="n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2</v>
      </c>
      <c r="N323" s="0" t="n">
        <v>0</v>
      </c>
      <c r="P323" s="0" t="n">
        <v>61.2</v>
      </c>
    </row>
    <row r="324" customFormat="false" ht="15" hidden="false" customHeight="false" outlineLevel="0" collapsed="false">
      <c r="A324" s="0" t="s">
        <v>354</v>
      </c>
      <c r="B324" s="2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0" t="n">
        <v>1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P324" s="0" t="n">
        <v>66.2</v>
      </c>
    </row>
    <row r="325" customFormat="false" ht="15" hidden="false" customHeight="false" outlineLevel="0" collapsed="false">
      <c r="A325" s="0" t="s">
        <v>355</v>
      </c>
      <c r="B325" s="2" t="n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0" t="n">
        <v>1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P325" s="0" t="n">
        <v>61.3</v>
      </c>
    </row>
    <row r="326" customFormat="false" ht="15" hidden="false" customHeight="false" outlineLevel="0" collapsed="false">
      <c r="A326" s="0" t="s">
        <v>356</v>
      </c>
      <c r="B326" s="2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P326" s="0" t="n">
        <v>72.2</v>
      </c>
    </row>
    <row r="327" customFormat="false" ht="15" hidden="false" customHeight="false" outlineLevel="0" collapsed="false">
      <c r="A327" s="0" t="s">
        <v>357</v>
      </c>
      <c r="B327" s="2" t="n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0" t="n">
        <v>1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0</v>
      </c>
      <c r="P327" s="0" t="n">
        <v>84</v>
      </c>
    </row>
    <row r="328" customFormat="false" ht="15" hidden="false" customHeight="false" outlineLevel="0" collapsed="false">
      <c r="A328" s="0" t="s">
        <v>358</v>
      </c>
      <c r="B328" s="2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P328" s="0" t="n">
        <v>59.8</v>
      </c>
    </row>
    <row r="329" customFormat="false" ht="15" hidden="false" customHeight="false" outlineLevel="0" collapsed="false">
      <c r="A329" s="0" t="s">
        <v>359</v>
      </c>
      <c r="B329" s="2" t="n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P329" s="0" t="n">
        <v>64.9</v>
      </c>
    </row>
    <row r="330" customFormat="false" ht="15" hidden="false" customHeight="false" outlineLevel="0" collapsed="false">
      <c r="A330" s="0" t="s">
        <v>360</v>
      </c>
      <c r="B330" s="2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P330" s="0" t="n">
        <v>66.8</v>
      </c>
    </row>
    <row r="331" customFormat="false" ht="15" hidden="false" customHeight="false" outlineLevel="0" collapsed="false">
      <c r="A331" s="0" t="s">
        <v>361</v>
      </c>
      <c r="B331" s="2" t="n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P331" s="0" t="n">
        <v>70.9</v>
      </c>
    </row>
    <row r="332" customFormat="false" ht="15" hidden="false" customHeight="false" outlineLevel="0" collapsed="false">
      <c r="A332" s="0" t="s">
        <v>362</v>
      </c>
      <c r="B332" s="2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0" t="n">
        <v>1</v>
      </c>
      <c r="I332" s="0" t="n">
        <v>1</v>
      </c>
      <c r="J332" s="0" t="n">
        <v>1</v>
      </c>
      <c r="K332" s="0" t="n">
        <v>1</v>
      </c>
      <c r="L332" s="0" t="n">
        <v>426.82</v>
      </c>
      <c r="M332" s="0" t="n">
        <v>1</v>
      </c>
      <c r="N332" s="0" t="n">
        <v>0</v>
      </c>
      <c r="O332" s="0" t="n">
        <v>14</v>
      </c>
      <c r="P332" s="0" t="n">
        <v>68.8</v>
      </c>
    </row>
    <row r="333" customFormat="false" ht="15" hidden="false" customHeight="false" outlineLevel="0" collapsed="false">
      <c r="A333" s="0" t="s">
        <v>363</v>
      </c>
      <c r="B333" s="2" t="n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P333" s="0" t="n">
        <v>72.4</v>
      </c>
    </row>
    <row r="334" customFormat="false" ht="15" hidden="false" customHeight="false" outlineLevel="0" collapsed="false">
      <c r="A334" s="0" t="s">
        <v>364</v>
      </c>
      <c r="B334" s="2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P334" s="0" t="n">
        <v>63.3</v>
      </c>
    </row>
    <row r="335" customFormat="false" ht="15" hidden="false" customHeight="false" outlineLevel="0" collapsed="false">
      <c r="A335" s="0" t="s">
        <v>365</v>
      </c>
      <c r="B335" s="2" t="n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P335" s="0" t="n">
        <v>30.8</v>
      </c>
    </row>
    <row r="336" customFormat="false" ht="15" hidden="false" customHeight="false" outlineLevel="0" collapsed="false">
      <c r="A336" s="0" t="s">
        <v>366</v>
      </c>
      <c r="B336" s="2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0" t="n">
        <v>1</v>
      </c>
      <c r="I336" s="0" t="n">
        <v>1</v>
      </c>
      <c r="J336" s="0" t="n">
        <v>1</v>
      </c>
      <c r="K336" s="0" t="n">
        <v>1</v>
      </c>
      <c r="L336" s="0" t="n">
        <v>874.55</v>
      </c>
      <c r="M336" s="0" t="n">
        <v>0</v>
      </c>
      <c r="N336" s="0" t="n">
        <v>0</v>
      </c>
      <c r="O336" s="0" t="n">
        <v>9</v>
      </c>
      <c r="P336" s="0" t="n">
        <v>44.2</v>
      </c>
    </row>
    <row r="337" customFormat="false" ht="15" hidden="false" customHeight="false" outlineLevel="0" collapsed="false">
      <c r="A337" s="0" t="s">
        <v>367</v>
      </c>
      <c r="B337" s="2" t="n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0" t="n">
        <v>1</v>
      </c>
      <c r="I337" s="0" t="n">
        <v>1</v>
      </c>
      <c r="J337" s="0" t="n">
        <v>1</v>
      </c>
      <c r="K337" s="0" t="n">
        <v>1</v>
      </c>
      <c r="L337" s="0" t="n">
        <v>2206.88</v>
      </c>
      <c r="M337" s="0" t="n">
        <v>0</v>
      </c>
      <c r="N337" s="0" t="n">
        <v>0</v>
      </c>
      <c r="O337" s="0" t="n">
        <v>10</v>
      </c>
      <c r="P337" s="0" t="n">
        <v>56.2</v>
      </c>
    </row>
    <row r="338" customFormat="false" ht="15" hidden="false" customHeight="false" outlineLevel="0" collapsed="false">
      <c r="A338" s="0" t="s">
        <v>368</v>
      </c>
      <c r="B338" s="2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P338" s="0" t="n">
        <v>40.4</v>
      </c>
    </row>
    <row r="339" customFormat="false" ht="15" hidden="false" customHeight="false" outlineLevel="0" collapsed="false">
      <c r="A339" s="0" t="s">
        <v>369</v>
      </c>
      <c r="B339" s="2" t="n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0</v>
      </c>
      <c r="P339" s="0" t="n">
        <v>68.1</v>
      </c>
    </row>
    <row r="340" customFormat="false" ht="15" hidden="false" customHeight="false" outlineLevel="0" collapsed="false">
      <c r="A340" s="0" t="s">
        <v>370</v>
      </c>
      <c r="B340" s="2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P340" s="0" t="n">
        <v>86.3</v>
      </c>
    </row>
    <row r="341" customFormat="false" ht="15" hidden="false" customHeight="false" outlineLevel="0" collapsed="false">
      <c r="A341" s="0" t="s">
        <v>371</v>
      </c>
      <c r="B341" s="2" t="n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0" t="n">
        <v>1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P341" s="0" t="n">
        <v>42.9</v>
      </c>
    </row>
    <row r="342" customFormat="false" ht="15" hidden="false" customHeight="false" outlineLevel="0" collapsed="false">
      <c r="A342" s="0" t="s">
        <v>372</v>
      </c>
      <c r="B342" s="2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P342" s="0" t="n">
        <v>61.4</v>
      </c>
    </row>
    <row r="343" customFormat="false" ht="15" hidden="false" customHeight="false" outlineLevel="0" collapsed="false">
      <c r="A343" s="0" t="s">
        <v>373</v>
      </c>
      <c r="B343" s="2" t="n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P343" s="0" t="n">
        <v>73.3</v>
      </c>
    </row>
    <row r="344" customFormat="false" ht="15" hidden="false" customHeight="false" outlineLevel="0" collapsed="false">
      <c r="A344" s="0" t="s">
        <v>374</v>
      </c>
      <c r="B344" s="2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P344" s="0" t="n">
        <v>59.4</v>
      </c>
    </row>
    <row r="345" customFormat="false" ht="15" hidden="false" customHeight="false" outlineLevel="0" collapsed="false">
      <c r="A345" s="0" t="s">
        <v>375</v>
      </c>
      <c r="B345" s="2" t="n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P345" s="0" t="n">
        <v>35.2</v>
      </c>
    </row>
    <row r="346" customFormat="false" ht="15" hidden="false" customHeight="false" outlineLevel="0" collapsed="false">
      <c r="A346" s="0" t="s">
        <v>376</v>
      </c>
      <c r="B346" s="2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P346" s="0" t="n">
        <v>55.3</v>
      </c>
    </row>
    <row r="347" customFormat="false" ht="15" hidden="false" customHeight="false" outlineLevel="0" collapsed="false">
      <c r="A347" s="0" t="s">
        <v>377</v>
      </c>
      <c r="B347" s="2" t="n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P347" s="0" t="n">
        <v>37.5</v>
      </c>
    </row>
    <row r="348" customFormat="false" ht="15" hidden="false" customHeight="false" outlineLevel="0" collapsed="false">
      <c r="A348" s="0" t="s">
        <v>378</v>
      </c>
      <c r="B348" s="2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0</v>
      </c>
      <c r="P348" s="0" t="n">
        <v>66.4</v>
      </c>
    </row>
    <row r="349" customFormat="false" ht="15" hidden="false" customHeight="false" outlineLevel="0" collapsed="false">
      <c r="A349" s="0" t="s">
        <v>379</v>
      </c>
      <c r="B349" s="2" t="n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P349" s="0" t="n">
        <v>61.9</v>
      </c>
    </row>
    <row r="350" customFormat="false" ht="15" hidden="false" customHeight="false" outlineLevel="0" collapsed="false">
      <c r="A350" s="0" t="s">
        <v>380</v>
      </c>
      <c r="B350" s="2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P350" s="0" t="n">
        <v>56</v>
      </c>
    </row>
    <row r="351" customFormat="false" ht="15" hidden="false" customHeight="false" outlineLevel="0" collapsed="false">
      <c r="A351" s="0" t="s">
        <v>381</v>
      </c>
      <c r="B351" s="2" t="n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P351" s="0" t="n">
        <v>55.5</v>
      </c>
    </row>
    <row r="352" customFormat="false" ht="15" hidden="false" customHeight="false" outlineLevel="0" collapsed="false">
      <c r="A352" s="0" t="s">
        <v>382</v>
      </c>
      <c r="B352" s="2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P352" s="0" t="n">
        <v>37.2</v>
      </c>
    </row>
    <row r="353" customFormat="false" ht="15" hidden="false" customHeight="false" outlineLevel="0" collapsed="false">
      <c r="A353" s="0" t="s">
        <v>383</v>
      </c>
      <c r="B353" s="2" t="n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0" t="n">
        <v>1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P353" s="0" t="n">
        <v>70.5</v>
      </c>
    </row>
    <row r="354" customFormat="false" ht="15" hidden="false" customHeight="false" outlineLevel="0" collapsed="false">
      <c r="A354" s="0" t="s">
        <v>384</v>
      </c>
      <c r="B354" s="2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P354" s="0" t="n">
        <v>61.2</v>
      </c>
    </row>
    <row r="355" customFormat="false" ht="15" hidden="false" customHeight="false" outlineLevel="0" collapsed="false">
      <c r="A355" s="0" t="s">
        <v>385</v>
      </c>
      <c r="B355" s="2" t="n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0" t="n">
        <v>1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P355" s="0" t="n">
        <v>64.6</v>
      </c>
    </row>
    <row r="356" customFormat="false" ht="15" hidden="false" customHeight="false" outlineLevel="0" collapsed="false">
      <c r="A356" s="0" t="s">
        <v>386</v>
      </c>
      <c r="B356" s="2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0" t="n">
        <v>1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P356" s="0" t="n">
        <v>91.7</v>
      </c>
    </row>
    <row r="357" customFormat="false" ht="15" hidden="false" customHeight="false" outlineLevel="0" collapsed="false">
      <c r="A357" s="0" t="s">
        <v>387</v>
      </c>
      <c r="B357" s="2" t="n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P357" s="0" t="n">
        <v>46</v>
      </c>
    </row>
    <row r="358" customFormat="false" ht="15" hidden="false" customHeight="false" outlineLevel="0" collapsed="false">
      <c r="A358" s="0" t="s">
        <v>388</v>
      </c>
      <c r="B358" s="2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P358" s="0" t="n">
        <v>50.8</v>
      </c>
    </row>
    <row r="359" customFormat="false" ht="15" hidden="false" customHeight="false" outlineLevel="0" collapsed="false">
      <c r="A359" s="0" t="s">
        <v>389</v>
      </c>
      <c r="B359" s="2" t="n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0" t="n">
        <v>1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</v>
      </c>
      <c r="N359" s="0" t="n">
        <v>0</v>
      </c>
      <c r="P359" s="0" t="n">
        <v>52.8</v>
      </c>
    </row>
    <row r="360" customFormat="false" ht="15" hidden="false" customHeight="false" outlineLevel="0" collapsed="false">
      <c r="A360" s="0" t="s">
        <v>390</v>
      </c>
      <c r="B360" s="2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0" t="n">
        <v>1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</v>
      </c>
      <c r="N360" s="0" t="n">
        <v>0</v>
      </c>
      <c r="P360" s="0" t="n">
        <v>63</v>
      </c>
    </row>
    <row r="361" customFormat="false" ht="15" hidden="false" customHeight="false" outlineLevel="0" collapsed="false">
      <c r="A361" s="0" t="s">
        <v>391</v>
      </c>
      <c r="B361" s="2" t="n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P361" s="0" t="n">
        <v>28.4</v>
      </c>
    </row>
    <row r="362" customFormat="false" ht="15" hidden="false" customHeight="false" outlineLevel="0" collapsed="false">
      <c r="A362" s="0" t="s">
        <v>392</v>
      </c>
      <c r="B362" s="2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0" t="n">
        <v>1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P362" s="0" t="n">
        <v>65.6</v>
      </c>
    </row>
    <row r="363" customFormat="false" ht="15" hidden="false" customHeight="false" outlineLevel="0" collapsed="false">
      <c r="A363" s="0" t="s">
        <v>393</v>
      </c>
      <c r="B363" s="2" t="n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0" t="n">
        <v>1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P363" s="0" t="n">
        <v>54.7</v>
      </c>
    </row>
    <row r="364" customFormat="false" ht="15" hidden="false" customHeight="false" outlineLevel="0" collapsed="false">
      <c r="A364" s="0" t="s">
        <v>394</v>
      </c>
      <c r="B364" s="2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P364" s="0" t="n">
        <v>36.1</v>
      </c>
    </row>
    <row r="365" customFormat="false" ht="15" hidden="false" customHeight="false" outlineLevel="0" collapsed="false">
      <c r="A365" s="0" t="s">
        <v>395</v>
      </c>
      <c r="B365" s="2" t="n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0" t="n">
        <v>1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P365" s="0" t="n">
        <v>70.4</v>
      </c>
    </row>
    <row r="366" customFormat="false" ht="15" hidden="false" customHeight="false" outlineLevel="0" collapsed="false">
      <c r="A366" s="0" t="s">
        <v>396</v>
      </c>
      <c r="B366" s="2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0" t="n">
        <v>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P366" s="0" t="n">
        <v>56.4</v>
      </c>
    </row>
    <row r="367" customFormat="false" ht="15" hidden="false" customHeight="false" outlineLevel="0" collapsed="false">
      <c r="A367" s="0" t="s">
        <v>397</v>
      </c>
      <c r="B367" s="2" t="n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P367" s="0" t="n">
        <v>79.2</v>
      </c>
    </row>
    <row r="368" customFormat="false" ht="15" hidden="false" customHeight="false" outlineLevel="0" collapsed="false">
      <c r="A368" s="0" t="s">
        <v>398</v>
      </c>
      <c r="B368" s="2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0" t="n">
        <v>1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0</v>
      </c>
      <c r="P368" s="0" t="n">
        <v>60.1</v>
      </c>
    </row>
    <row r="369" customFormat="false" ht="15" hidden="false" customHeight="false" outlineLevel="0" collapsed="false">
      <c r="A369" s="0" t="s">
        <v>399</v>
      </c>
      <c r="B369" s="2" t="n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P369" s="0" t="n">
        <v>58</v>
      </c>
    </row>
    <row r="370" customFormat="false" ht="15" hidden="false" customHeight="false" outlineLevel="0" collapsed="false">
      <c r="A370" s="0" t="s">
        <v>400</v>
      </c>
      <c r="B370" s="2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0" t="n">
        <v>1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P370" s="0" t="n">
        <v>69</v>
      </c>
    </row>
    <row r="371" customFormat="false" ht="15" hidden="false" customHeight="false" outlineLevel="0" collapsed="false">
      <c r="A371" s="0" t="s">
        <v>401</v>
      </c>
      <c r="B371" s="2" t="n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0" t="n">
        <v>1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1</v>
      </c>
      <c r="N371" s="0" t="n">
        <v>0</v>
      </c>
      <c r="P371" s="0" t="n">
        <v>80.8</v>
      </c>
    </row>
    <row r="372" customFormat="false" ht="15" hidden="false" customHeight="false" outlineLevel="0" collapsed="false">
      <c r="A372" s="0" t="s">
        <v>402</v>
      </c>
      <c r="B372" s="2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P372" s="0" t="n">
        <v>32.8</v>
      </c>
    </row>
    <row r="373" customFormat="false" ht="15" hidden="false" customHeight="false" outlineLevel="0" collapsed="false">
      <c r="A373" s="0" t="s">
        <v>403</v>
      </c>
      <c r="B373" s="2" t="n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P373" s="0" t="n">
        <v>56</v>
      </c>
    </row>
    <row r="374" customFormat="false" ht="15" hidden="false" customHeight="false" outlineLevel="0" collapsed="false">
      <c r="A374" s="0" t="s">
        <v>404</v>
      </c>
      <c r="B374" s="2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P374" s="0" t="n">
        <v>76.4</v>
      </c>
    </row>
    <row r="375" customFormat="false" ht="15" hidden="false" customHeight="false" outlineLevel="0" collapsed="false">
      <c r="A375" s="0" t="s">
        <v>405</v>
      </c>
      <c r="B375" s="2" t="n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P375" s="0" t="n">
        <v>28.5</v>
      </c>
    </row>
    <row r="376" customFormat="false" ht="15" hidden="false" customHeight="false" outlineLevel="0" collapsed="false">
      <c r="A376" s="0" t="s">
        <v>406</v>
      </c>
      <c r="B376" s="2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0" t="n">
        <v>1</v>
      </c>
      <c r="I376" s="0" t="n">
        <v>1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0</v>
      </c>
      <c r="P376" s="0" t="n">
        <v>48.3</v>
      </c>
    </row>
    <row r="377" customFormat="false" ht="15" hidden="false" customHeight="false" outlineLevel="0" collapsed="false">
      <c r="A377" s="0" t="s">
        <v>407</v>
      </c>
      <c r="B377" s="2" t="n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0" t="n">
        <v>1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P377" s="0" t="n">
        <v>43.4</v>
      </c>
    </row>
    <row r="378" customFormat="false" ht="15" hidden="false" customHeight="false" outlineLevel="0" collapsed="false">
      <c r="A378" s="0" t="s">
        <v>408</v>
      </c>
      <c r="B378" s="2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P378" s="0" t="n">
        <v>43</v>
      </c>
    </row>
    <row r="379" customFormat="false" ht="15" hidden="false" customHeight="false" outlineLevel="0" collapsed="false">
      <c r="A379" s="0" t="s">
        <v>409</v>
      </c>
      <c r="B379" s="2" t="n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0" t="n">
        <v>1</v>
      </c>
      <c r="I379" s="0" t="n">
        <v>1</v>
      </c>
      <c r="J379" s="0" t="n">
        <v>1</v>
      </c>
      <c r="K379" s="0" t="n">
        <v>0</v>
      </c>
      <c r="L379" s="0" t="n">
        <v>0</v>
      </c>
      <c r="M379" s="0" t="n">
        <v>0</v>
      </c>
      <c r="N379" s="0" t="n">
        <v>0</v>
      </c>
      <c r="P379" s="0" t="n">
        <v>91.8</v>
      </c>
    </row>
    <row r="380" customFormat="false" ht="15" hidden="false" customHeight="false" outlineLevel="0" collapsed="false">
      <c r="A380" s="0" t="s">
        <v>410</v>
      </c>
      <c r="B380" s="2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P380" s="0" t="n">
        <v>69.3</v>
      </c>
    </row>
    <row r="381" customFormat="false" ht="15" hidden="false" customHeight="false" outlineLevel="0" collapsed="false">
      <c r="A381" s="0" t="s">
        <v>411</v>
      </c>
      <c r="B381" s="2" t="n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P381" s="0" t="n">
        <v>58.9</v>
      </c>
    </row>
    <row r="382" customFormat="false" ht="15" hidden="false" customHeight="false" outlineLevel="0" collapsed="false">
      <c r="A382" s="0" t="s">
        <v>412</v>
      </c>
      <c r="B382" s="2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0" t="n">
        <v>1</v>
      </c>
      <c r="I382" s="0" t="n">
        <v>1</v>
      </c>
      <c r="J382" s="0" t="n">
        <v>1</v>
      </c>
      <c r="K382" s="0" t="n">
        <v>0</v>
      </c>
      <c r="L382" s="0" t="n">
        <v>0</v>
      </c>
      <c r="M382" s="0" t="n">
        <v>0</v>
      </c>
      <c r="N382" s="0" t="n">
        <v>0</v>
      </c>
      <c r="P382" s="0" t="n">
        <v>76</v>
      </c>
    </row>
    <row r="383" customFormat="false" ht="15" hidden="false" customHeight="false" outlineLevel="0" collapsed="false">
      <c r="A383" s="0" t="s">
        <v>413</v>
      </c>
      <c r="B383" s="2" t="n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P383" s="0" t="n">
        <v>46</v>
      </c>
    </row>
    <row r="384" customFormat="false" ht="15" hidden="false" customHeight="false" outlineLevel="0" collapsed="false">
      <c r="A384" s="0" t="s">
        <v>414</v>
      </c>
      <c r="B384" s="2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P384" s="0" t="n">
        <v>54.1</v>
      </c>
    </row>
    <row r="385" customFormat="false" ht="15" hidden="false" customHeight="false" outlineLevel="0" collapsed="false">
      <c r="A385" s="0" t="s">
        <v>415</v>
      </c>
      <c r="B385" s="2" t="n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P385" s="0" t="n">
        <v>82.4</v>
      </c>
    </row>
    <row r="386" customFormat="false" ht="15" hidden="false" customHeight="false" outlineLevel="0" collapsed="false">
      <c r="A386" s="0" t="s">
        <v>416</v>
      </c>
      <c r="B386" s="2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0" t="n">
        <v>1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P386" s="0" t="n">
        <v>71.9</v>
      </c>
    </row>
    <row r="387" customFormat="false" ht="15" hidden="false" customHeight="false" outlineLevel="0" collapsed="false">
      <c r="A387" s="0" t="s">
        <v>417</v>
      </c>
      <c r="B387" s="2" t="n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2</v>
      </c>
      <c r="N387" s="0" t="n">
        <v>0</v>
      </c>
      <c r="P387" s="0" t="n">
        <v>38</v>
      </c>
    </row>
    <row r="388" customFormat="false" ht="15" hidden="false" customHeight="false" outlineLevel="0" collapsed="false">
      <c r="A388" s="0" t="s">
        <v>418</v>
      </c>
      <c r="B388" s="2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0" t="n">
        <v>1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P388" s="0" t="n">
        <v>43.7</v>
      </c>
    </row>
    <row r="389" customFormat="false" ht="15" hidden="false" customHeight="false" outlineLevel="0" collapsed="false">
      <c r="A389" s="0" t="s">
        <v>419</v>
      </c>
      <c r="B389" s="2" t="n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0</v>
      </c>
      <c r="P389" s="0" t="n">
        <v>32.2</v>
      </c>
    </row>
    <row r="390" customFormat="false" ht="15" hidden="false" customHeight="false" outlineLevel="0" collapsed="false">
      <c r="A390" s="0" t="s">
        <v>420</v>
      </c>
      <c r="B390" s="2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P390" s="0" t="n">
        <v>61</v>
      </c>
    </row>
    <row r="391" customFormat="false" ht="15" hidden="false" customHeight="false" outlineLevel="0" collapsed="false">
      <c r="A391" s="0" t="s">
        <v>421</v>
      </c>
      <c r="B391" s="2" t="n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P391" s="0" t="n">
        <v>49</v>
      </c>
    </row>
    <row r="392" customFormat="false" ht="15" hidden="false" customHeight="false" outlineLevel="0" collapsed="false">
      <c r="A392" s="0" t="s">
        <v>422</v>
      </c>
      <c r="B392" s="2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P392" s="0" t="n">
        <v>48.1</v>
      </c>
    </row>
    <row r="393" customFormat="false" ht="15" hidden="false" customHeight="false" outlineLevel="0" collapsed="false">
      <c r="A393" s="0" t="s">
        <v>423</v>
      </c>
      <c r="B393" s="2" t="n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2</v>
      </c>
      <c r="N393" s="0" t="n">
        <v>0</v>
      </c>
      <c r="P393" s="0" t="n">
        <v>46.3</v>
      </c>
    </row>
    <row r="394" customFormat="false" ht="15" hidden="false" customHeight="false" outlineLevel="0" collapsed="false">
      <c r="A394" s="0" t="s">
        <v>424</v>
      </c>
      <c r="B394" s="2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P394" s="0" t="n">
        <v>64</v>
      </c>
    </row>
    <row r="395" customFormat="false" ht="15" hidden="false" customHeight="false" outlineLevel="0" collapsed="false">
      <c r="A395" s="0" t="s">
        <v>425</v>
      </c>
      <c r="B395" s="2" t="n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0" t="n">
        <v>1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P395" s="0" t="n">
        <v>56.2</v>
      </c>
    </row>
    <row r="396" customFormat="false" ht="15" hidden="false" customHeight="false" outlineLevel="0" collapsed="false">
      <c r="A396" s="0" t="s">
        <v>426</v>
      </c>
      <c r="B396" s="2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0" t="n">
        <v>1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0</v>
      </c>
      <c r="P396" s="0" t="n">
        <v>77.5</v>
      </c>
    </row>
    <row r="397" customFormat="false" ht="15" hidden="false" customHeight="false" outlineLevel="0" collapsed="false">
      <c r="A397" s="0" t="s">
        <v>427</v>
      </c>
      <c r="B397" s="2" t="n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P397" s="0" t="n">
        <v>59.9</v>
      </c>
    </row>
    <row r="398" customFormat="false" ht="15" hidden="false" customHeight="false" outlineLevel="0" collapsed="false">
      <c r="A398" s="0" t="s">
        <v>428</v>
      </c>
      <c r="B398" s="2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0" t="n">
        <v>1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P398" s="0" t="n">
        <v>63</v>
      </c>
    </row>
    <row r="399" customFormat="false" ht="15" hidden="false" customHeight="false" outlineLevel="0" collapsed="false">
      <c r="A399" s="0" t="s">
        <v>429</v>
      </c>
      <c r="B399" s="2" t="n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0" t="n">
        <v>1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P399" s="0" t="n">
        <v>76.5</v>
      </c>
    </row>
    <row r="400" customFormat="false" ht="15" hidden="false" customHeight="false" outlineLevel="0" collapsed="false">
      <c r="A400" s="0" t="s">
        <v>430</v>
      </c>
      <c r="B400" s="2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0" t="n">
        <v>1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P400" s="0" t="n">
        <v>39.7</v>
      </c>
    </row>
    <row r="401" customFormat="false" ht="15" hidden="false" customHeight="false" outlineLevel="0" collapsed="false">
      <c r="A401" s="0" t="s">
        <v>431</v>
      </c>
      <c r="B401" s="2" t="n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P401" s="0" t="n">
        <v>80.2</v>
      </c>
    </row>
    <row r="402" customFormat="false" ht="15" hidden="false" customHeight="false" outlineLevel="0" collapsed="false">
      <c r="A402" s="0" t="s">
        <v>432</v>
      </c>
      <c r="B402" s="2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P402" s="0" t="n">
        <v>72.2</v>
      </c>
    </row>
    <row r="403" customFormat="false" ht="15" hidden="false" customHeight="false" outlineLevel="0" collapsed="false">
      <c r="A403" s="0" t="s">
        <v>433</v>
      </c>
      <c r="B403" s="2" t="n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P403" s="0" t="n">
        <v>56</v>
      </c>
    </row>
    <row r="404" customFormat="false" ht="15" hidden="false" customHeight="false" outlineLevel="0" collapsed="false">
      <c r="A404" s="0" t="s">
        <v>434</v>
      </c>
      <c r="B404" s="2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0" t="n">
        <v>1</v>
      </c>
      <c r="I404" s="0" t="n">
        <v>1</v>
      </c>
      <c r="J404" s="0" t="n">
        <v>1</v>
      </c>
      <c r="K404" s="0" t="n">
        <v>0</v>
      </c>
      <c r="L404" s="0" t="n">
        <v>0</v>
      </c>
      <c r="M404" s="0" t="n">
        <v>0</v>
      </c>
      <c r="N404" s="0" t="n">
        <v>0</v>
      </c>
      <c r="P404" s="0" t="n">
        <v>69.1</v>
      </c>
    </row>
    <row r="405" customFormat="false" ht="15" hidden="false" customHeight="false" outlineLevel="0" collapsed="false">
      <c r="A405" s="0" t="s">
        <v>435</v>
      </c>
      <c r="B405" s="2" t="n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P405" s="0" t="n">
        <v>70.6</v>
      </c>
    </row>
    <row r="406" customFormat="false" ht="15" hidden="false" customHeight="false" outlineLevel="0" collapsed="false">
      <c r="A406" s="0" t="s">
        <v>436</v>
      </c>
      <c r="B406" s="2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P406" s="0" t="n">
        <v>57.9</v>
      </c>
    </row>
    <row r="407" customFormat="false" ht="15" hidden="false" customHeight="false" outlineLevel="0" collapsed="false">
      <c r="A407" s="0" t="s">
        <v>437</v>
      </c>
      <c r="B407" s="2" t="n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0" t="n">
        <v>1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P407" s="0" t="n">
        <v>41.4</v>
      </c>
    </row>
    <row r="408" customFormat="false" ht="15" hidden="false" customHeight="false" outlineLevel="0" collapsed="false">
      <c r="A408" s="0" t="s">
        <v>438</v>
      </c>
      <c r="B408" s="2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P408" s="0" t="n">
        <v>60.9</v>
      </c>
    </row>
    <row r="409" customFormat="false" ht="15" hidden="false" customHeight="false" outlineLevel="0" collapsed="false">
      <c r="A409" s="0" t="s">
        <v>439</v>
      </c>
      <c r="B409" s="2" t="n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0</v>
      </c>
      <c r="P409" s="0" t="n">
        <v>63.8</v>
      </c>
    </row>
    <row r="410" customFormat="false" ht="15" hidden="false" customHeight="false" outlineLevel="0" collapsed="false">
      <c r="A410" s="0" t="s">
        <v>440</v>
      </c>
      <c r="B410" s="2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P410" s="0" t="n">
        <v>79.2</v>
      </c>
    </row>
    <row r="411" customFormat="false" ht="15" hidden="false" customHeight="false" outlineLevel="0" collapsed="false">
      <c r="A411" s="0" t="s">
        <v>441</v>
      </c>
      <c r="B411" s="2" t="n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0" t="n">
        <v>1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0</v>
      </c>
      <c r="N411" s="0" t="n">
        <v>0</v>
      </c>
      <c r="P411" s="0" t="n">
        <v>53.3</v>
      </c>
    </row>
    <row r="412" customFormat="false" ht="15" hidden="false" customHeight="false" outlineLevel="0" collapsed="false">
      <c r="A412" s="0" t="s">
        <v>442</v>
      </c>
      <c r="B412" s="2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2144.82</v>
      </c>
      <c r="M412" s="0" t="n">
        <v>0</v>
      </c>
      <c r="N412" s="0" t="n">
        <v>0</v>
      </c>
      <c r="O412" s="0" t="n">
        <v>6</v>
      </c>
      <c r="P412" s="0" t="n">
        <v>52.3</v>
      </c>
    </row>
    <row r="413" customFormat="false" ht="15" hidden="false" customHeight="false" outlineLevel="0" collapsed="false">
      <c r="A413" s="0" t="s">
        <v>443</v>
      </c>
      <c r="B413" s="2" t="n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0" t="n">
        <v>1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P413" s="0" t="n">
        <v>62.4</v>
      </c>
    </row>
    <row r="414" customFormat="false" ht="15" hidden="false" customHeight="false" outlineLevel="0" collapsed="false">
      <c r="A414" s="0" t="s">
        <v>444</v>
      </c>
      <c r="B414" s="2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0" t="n">
        <v>1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P414" s="0" t="n">
        <v>45.5</v>
      </c>
    </row>
    <row r="415" customFormat="false" ht="15" hidden="false" customHeight="false" outlineLevel="0" collapsed="false">
      <c r="A415" s="0" t="s">
        <v>445</v>
      </c>
      <c r="B415" s="2" t="n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P415" s="0" t="n">
        <v>72.6</v>
      </c>
    </row>
    <row r="416" customFormat="false" ht="15" hidden="false" customHeight="false" outlineLevel="0" collapsed="false">
      <c r="A416" s="0" t="s">
        <v>446</v>
      </c>
      <c r="B416" s="2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0" t="n">
        <v>1</v>
      </c>
      <c r="I416" s="0" t="n">
        <v>1</v>
      </c>
      <c r="J416" s="0" t="n">
        <v>1</v>
      </c>
      <c r="K416" s="0" t="n">
        <v>0</v>
      </c>
      <c r="L416" s="0" t="n">
        <v>0</v>
      </c>
      <c r="M416" s="0" t="n">
        <v>0</v>
      </c>
      <c r="N416" s="0" t="n">
        <v>0</v>
      </c>
      <c r="P416" s="0" t="n">
        <v>50.1</v>
      </c>
    </row>
    <row r="417" customFormat="false" ht="15" hidden="false" customHeight="false" outlineLevel="0" collapsed="false">
      <c r="A417" s="0" t="s">
        <v>447</v>
      </c>
      <c r="B417" s="2" t="n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0" t="n">
        <v>1</v>
      </c>
      <c r="I417" s="0" t="n">
        <v>1</v>
      </c>
      <c r="J417" s="0" t="n">
        <v>1</v>
      </c>
      <c r="K417" s="0" t="n">
        <v>0</v>
      </c>
      <c r="L417" s="0" t="n">
        <v>0</v>
      </c>
      <c r="M417" s="0" t="n">
        <v>2</v>
      </c>
      <c r="N417" s="0" t="n">
        <v>0</v>
      </c>
      <c r="P417" s="0" t="n">
        <v>58.1</v>
      </c>
    </row>
    <row r="418" customFormat="false" ht="15" hidden="false" customHeight="false" outlineLevel="0" collapsed="false">
      <c r="A418" s="0" t="s">
        <v>448</v>
      </c>
      <c r="B418" s="2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0" t="n">
        <v>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P418" s="0" t="n">
        <v>42.9</v>
      </c>
    </row>
    <row r="419" customFormat="false" ht="15" hidden="false" customHeight="false" outlineLevel="0" collapsed="false">
      <c r="A419" s="0" t="s">
        <v>449</v>
      </c>
      <c r="B419" s="2" t="n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P419" s="0" t="n">
        <v>69.7</v>
      </c>
    </row>
    <row r="420" customFormat="false" ht="15" hidden="false" customHeight="false" outlineLevel="0" collapsed="false">
      <c r="A420" s="0" t="s">
        <v>450</v>
      </c>
      <c r="B420" s="2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P420" s="0" t="n">
        <v>63.3</v>
      </c>
    </row>
    <row r="421" customFormat="false" ht="15" hidden="false" customHeight="false" outlineLevel="0" collapsed="false">
      <c r="A421" s="0" t="s">
        <v>451</v>
      </c>
      <c r="B421" s="2" t="n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P421" s="0" t="n">
        <v>71.2</v>
      </c>
    </row>
    <row r="422" customFormat="false" ht="15" hidden="false" customHeight="false" outlineLevel="0" collapsed="false">
      <c r="A422" s="0" t="s">
        <v>452</v>
      </c>
      <c r="B422" s="2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P422" s="0" t="n">
        <v>39.1</v>
      </c>
    </row>
    <row r="423" customFormat="false" ht="15" hidden="false" customHeight="false" outlineLevel="0" collapsed="false">
      <c r="A423" s="0" t="s">
        <v>453</v>
      </c>
      <c r="B423" s="2" t="n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P423" s="0" t="n">
        <v>42.6</v>
      </c>
    </row>
    <row r="424" customFormat="false" ht="15" hidden="false" customHeight="false" outlineLevel="0" collapsed="false">
      <c r="A424" s="0" t="s">
        <v>454</v>
      </c>
      <c r="B424" s="2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P424" s="0" t="n">
        <v>74.4</v>
      </c>
    </row>
    <row r="425" customFormat="false" ht="15" hidden="false" customHeight="false" outlineLevel="0" collapsed="false">
      <c r="A425" s="0" t="s">
        <v>455</v>
      </c>
      <c r="B425" s="2" t="n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P425" s="0" t="n">
        <v>55.6</v>
      </c>
    </row>
    <row r="426" customFormat="false" ht="15" hidden="false" customHeight="false" outlineLevel="0" collapsed="false">
      <c r="A426" s="0" t="s">
        <v>456</v>
      </c>
      <c r="B426" s="2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P426" s="0" t="n">
        <v>35.8</v>
      </c>
    </row>
    <row r="427" customFormat="false" ht="15" hidden="false" customHeight="false" outlineLevel="0" collapsed="false">
      <c r="A427" s="0" t="s">
        <v>457</v>
      </c>
      <c r="B427" s="2" t="n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0</v>
      </c>
      <c r="P427" s="0" t="n">
        <v>28.2</v>
      </c>
    </row>
    <row r="428" customFormat="false" ht="15" hidden="false" customHeight="false" outlineLevel="0" collapsed="false">
      <c r="A428" s="0" t="s">
        <v>458</v>
      </c>
      <c r="B428" s="2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2</v>
      </c>
      <c r="N428" s="0" t="n">
        <v>0</v>
      </c>
      <c r="P428" s="0" t="n">
        <v>44.4</v>
      </c>
    </row>
    <row r="429" customFormat="false" ht="15" hidden="false" customHeight="false" outlineLevel="0" collapsed="false">
      <c r="A429" s="0" t="s">
        <v>459</v>
      </c>
      <c r="B429" s="2" t="n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P429" s="0" t="n">
        <v>49.9</v>
      </c>
    </row>
    <row r="430" customFormat="false" ht="15" hidden="false" customHeight="false" outlineLevel="0" collapsed="false">
      <c r="A430" s="0" t="s">
        <v>460</v>
      </c>
      <c r="B430" s="2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P430" s="0" t="n">
        <v>40.4</v>
      </c>
    </row>
    <row r="431" customFormat="false" ht="15" hidden="false" customHeight="false" outlineLevel="0" collapsed="false">
      <c r="A431" s="0" t="s">
        <v>461</v>
      </c>
      <c r="B431" s="2" t="n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P431" s="0" t="n">
        <v>60.4</v>
      </c>
    </row>
    <row r="432" customFormat="false" ht="15" hidden="false" customHeight="false" outlineLevel="0" collapsed="false">
      <c r="A432" s="0" t="s">
        <v>462</v>
      </c>
      <c r="B432" s="2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0</v>
      </c>
      <c r="P432" s="0" t="n">
        <v>52.4</v>
      </c>
    </row>
    <row r="433" customFormat="false" ht="15" hidden="false" customHeight="false" outlineLevel="0" collapsed="false">
      <c r="A433" s="0" t="s">
        <v>463</v>
      </c>
      <c r="B433" s="2" t="n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0" t="n">
        <v>1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P433" s="0" t="n">
        <v>48.8</v>
      </c>
    </row>
    <row r="434" customFormat="false" ht="15" hidden="false" customHeight="false" outlineLevel="0" collapsed="false">
      <c r="A434" s="0" t="s">
        <v>464</v>
      </c>
      <c r="B434" s="2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P434" s="0" t="n">
        <v>60.9</v>
      </c>
    </row>
    <row r="435" customFormat="false" ht="15" hidden="false" customHeight="false" outlineLevel="0" collapsed="false">
      <c r="A435" s="0" t="s">
        <v>465</v>
      </c>
      <c r="B435" s="2" t="n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P435" s="0" t="n">
        <v>68.2</v>
      </c>
    </row>
    <row r="436" customFormat="false" ht="15" hidden="false" customHeight="false" outlineLevel="0" collapsed="false">
      <c r="A436" s="0" t="s">
        <v>466</v>
      </c>
      <c r="B436" s="2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P436" s="0" t="n">
        <v>65.6</v>
      </c>
    </row>
    <row r="437" customFormat="false" ht="15" hidden="false" customHeight="false" outlineLevel="0" collapsed="false">
      <c r="A437" s="0" t="s">
        <v>467</v>
      </c>
      <c r="B437" s="2" t="n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P437" s="0" t="n">
        <v>65.4</v>
      </c>
    </row>
    <row r="438" customFormat="false" ht="15" hidden="false" customHeight="false" outlineLevel="0" collapsed="false">
      <c r="A438" s="0" t="s">
        <v>468</v>
      </c>
      <c r="B438" s="2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P438" s="0" t="n">
        <v>78.9</v>
      </c>
    </row>
    <row r="439" customFormat="false" ht="15" hidden="false" customHeight="false" outlineLevel="0" collapsed="false">
      <c r="A439" s="0" t="s">
        <v>469</v>
      </c>
      <c r="B439" s="2" t="n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0" t="n">
        <v>1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0</v>
      </c>
      <c r="N439" s="0" t="n">
        <v>0</v>
      </c>
      <c r="P439" s="0" t="n">
        <v>78.3</v>
      </c>
    </row>
    <row r="440" customFormat="false" ht="15" hidden="false" customHeight="false" outlineLevel="0" collapsed="false">
      <c r="A440" s="0" t="s">
        <v>470</v>
      </c>
      <c r="B440" s="2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P440" s="0" t="n">
        <v>49.2</v>
      </c>
    </row>
    <row r="441" customFormat="false" ht="15" hidden="false" customHeight="false" outlineLevel="0" collapsed="false">
      <c r="A441" s="0" t="s">
        <v>471</v>
      </c>
      <c r="B441" s="2" t="n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0" t="n">
        <v>1</v>
      </c>
      <c r="I441" s="0" t="n">
        <v>1</v>
      </c>
      <c r="J441" s="0" t="n">
        <v>1</v>
      </c>
      <c r="K441" s="0" t="n">
        <v>1</v>
      </c>
      <c r="L441" s="0" t="n">
        <v>1518.83</v>
      </c>
      <c r="M441" s="0" t="n">
        <v>0</v>
      </c>
      <c r="N441" s="0" t="n">
        <v>0</v>
      </c>
      <c r="O441" s="0" t="n">
        <v>9</v>
      </c>
      <c r="P441" s="0" t="n">
        <v>32.2</v>
      </c>
    </row>
    <row r="442" customFormat="false" ht="15" hidden="false" customHeight="false" outlineLevel="0" collapsed="false">
      <c r="A442" s="0" t="s">
        <v>472</v>
      </c>
      <c r="B442" s="2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0" t="n">
        <v>1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P442" s="0" t="n">
        <v>46.3</v>
      </c>
    </row>
    <row r="443" customFormat="false" ht="15" hidden="false" customHeight="false" outlineLevel="0" collapsed="false">
      <c r="A443" s="0" t="s">
        <v>473</v>
      </c>
      <c r="B443" s="2" t="n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P443" s="0" t="n">
        <v>55.7</v>
      </c>
    </row>
    <row r="444" customFormat="false" ht="15" hidden="false" customHeight="false" outlineLevel="0" collapsed="false">
      <c r="A444" s="0" t="s">
        <v>474</v>
      </c>
      <c r="B444" s="2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0" t="n">
        <v>1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P444" s="0" t="n">
        <v>44.5</v>
      </c>
    </row>
    <row r="445" customFormat="false" ht="15" hidden="false" customHeight="false" outlineLevel="0" collapsed="false">
      <c r="A445" s="0" t="s">
        <v>475</v>
      </c>
      <c r="B445" s="2" t="n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0" t="n">
        <v>1</v>
      </c>
      <c r="I445" s="0" t="n">
        <v>1</v>
      </c>
      <c r="J445" s="0" t="n">
        <v>1</v>
      </c>
      <c r="K445" s="0" t="n">
        <v>0</v>
      </c>
      <c r="L445" s="0" t="n">
        <v>0</v>
      </c>
      <c r="M445" s="0" t="n">
        <v>1</v>
      </c>
      <c r="N445" s="0" t="n">
        <v>0</v>
      </c>
      <c r="P445" s="0" t="n">
        <v>47.9</v>
      </c>
    </row>
    <row r="446" customFormat="false" ht="15" hidden="false" customHeight="false" outlineLevel="0" collapsed="false">
      <c r="A446" s="0" t="s">
        <v>476</v>
      </c>
      <c r="B446" s="2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P446" s="0" t="n">
        <v>43.9</v>
      </c>
    </row>
    <row r="447" customFormat="false" ht="15" hidden="false" customHeight="false" outlineLevel="0" collapsed="false">
      <c r="A447" s="0" t="s">
        <v>477</v>
      </c>
      <c r="B447" s="2" t="n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0" t="n">
        <v>1</v>
      </c>
      <c r="I447" s="0" t="n">
        <v>1</v>
      </c>
      <c r="J447" s="0" t="n">
        <v>1</v>
      </c>
      <c r="K447" s="0" t="n">
        <v>0</v>
      </c>
      <c r="L447" s="0" t="n">
        <v>0</v>
      </c>
      <c r="M447" s="0" t="n">
        <v>1</v>
      </c>
      <c r="N447" s="0" t="n">
        <v>0</v>
      </c>
      <c r="P447" s="0" t="n">
        <v>67.7</v>
      </c>
    </row>
    <row r="448" customFormat="false" ht="15" hidden="false" customHeight="false" outlineLevel="0" collapsed="false">
      <c r="A448" s="0" t="s">
        <v>478</v>
      </c>
      <c r="B448" s="2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P448" s="0" t="n">
        <v>43.7</v>
      </c>
    </row>
    <row r="449" customFormat="false" ht="15" hidden="false" customHeight="false" outlineLevel="0" collapsed="false">
      <c r="A449" s="0" t="s">
        <v>479</v>
      </c>
      <c r="B449" s="2" t="n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0" t="n">
        <v>1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P449" s="0" t="n">
        <v>68.8</v>
      </c>
    </row>
    <row r="450" customFormat="false" ht="15" hidden="false" customHeight="false" outlineLevel="0" collapsed="false">
      <c r="A450" s="0" t="s">
        <v>480</v>
      </c>
      <c r="B450" s="2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0" t="n">
        <v>1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0</v>
      </c>
      <c r="N450" s="0" t="n">
        <v>0</v>
      </c>
      <c r="P450" s="0" t="n">
        <v>59.2</v>
      </c>
    </row>
    <row r="451" customFormat="false" ht="15" hidden="false" customHeight="false" outlineLevel="0" collapsed="false">
      <c r="A451" s="0" t="s">
        <v>481</v>
      </c>
      <c r="B451" s="2" t="n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0" t="n">
        <v>1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P451" s="0" t="n">
        <v>48.6</v>
      </c>
    </row>
    <row r="452" customFormat="false" ht="15" hidden="false" customHeight="false" outlineLevel="0" collapsed="false">
      <c r="A452" s="0" t="s">
        <v>482</v>
      </c>
      <c r="B452" s="2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0" t="n">
        <v>1</v>
      </c>
      <c r="I452" s="0" t="n">
        <v>1</v>
      </c>
      <c r="J452" s="0" t="n">
        <v>1</v>
      </c>
      <c r="K452" s="0" t="n">
        <v>0</v>
      </c>
      <c r="L452" s="0" t="n">
        <v>0</v>
      </c>
      <c r="M452" s="0" t="n">
        <v>0</v>
      </c>
      <c r="N452" s="0" t="n">
        <v>0</v>
      </c>
      <c r="P452" s="0" t="n">
        <v>56.9</v>
      </c>
    </row>
    <row r="453" customFormat="false" ht="15" hidden="false" customHeight="false" outlineLevel="0" collapsed="false">
      <c r="A453" s="0" t="s">
        <v>483</v>
      </c>
      <c r="B453" s="2" t="n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P453" s="0" t="n">
        <v>55.8</v>
      </c>
    </row>
    <row r="454" customFormat="false" ht="15" hidden="false" customHeight="false" outlineLevel="0" collapsed="false">
      <c r="A454" s="0" t="s">
        <v>484</v>
      </c>
      <c r="B454" s="2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P454" s="0" t="n">
        <v>63.3</v>
      </c>
    </row>
    <row r="455" customFormat="false" ht="15" hidden="false" customHeight="false" outlineLevel="0" collapsed="false">
      <c r="A455" s="0" t="s">
        <v>485</v>
      </c>
      <c r="B455" s="2" t="n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0" t="n">
        <v>1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P455" s="0" t="n">
        <v>52.2</v>
      </c>
    </row>
    <row r="456" customFormat="false" ht="15" hidden="false" customHeight="false" outlineLevel="0" collapsed="false">
      <c r="A456" s="0" t="s">
        <v>486</v>
      </c>
      <c r="B456" s="2" t="n">
        <v>45713</v>
      </c>
      <c r="C456" s="3" t="s">
        <v>17</v>
      </c>
      <c r="D456" s="3" t="s">
        <v>32</v>
      </c>
      <c r="E456" s="3" t="s">
        <v>34</v>
      </c>
      <c r="G456" s="3" t="s">
        <v>26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P456" s="0" t="n">
        <v>51.5</v>
      </c>
    </row>
    <row r="457" customFormat="false" ht="15" hidden="false" customHeight="false" outlineLevel="0" collapsed="false">
      <c r="A457" s="0" t="s">
        <v>487</v>
      </c>
      <c r="B457" s="2" t="n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P457" s="0" t="n">
        <v>50.3</v>
      </c>
    </row>
    <row r="458" customFormat="false" ht="15" hidden="false" customHeight="false" outlineLevel="0" collapsed="false">
      <c r="A458" s="0" t="s">
        <v>488</v>
      </c>
      <c r="B458" s="2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0" t="n">
        <v>1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0</v>
      </c>
      <c r="P458" s="0" t="n">
        <v>35.4</v>
      </c>
    </row>
    <row r="459" customFormat="false" ht="15" hidden="false" customHeight="false" outlineLevel="0" collapsed="false">
      <c r="A459" s="0" t="s">
        <v>489</v>
      </c>
      <c r="B459" s="2" t="n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0" t="n">
        <v>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0</v>
      </c>
      <c r="P459" s="0" t="n">
        <v>54.1</v>
      </c>
    </row>
    <row r="460" customFormat="false" ht="15" hidden="false" customHeight="false" outlineLevel="0" collapsed="false">
      <c r="A460" s="0" t="s">
        <v>490</v>
      </c>
      <c r="B460" s="2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0" t="n">
        <v>1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P460" s="0" t="n">
        <v>56.2</v>
      </c>
    </row>
    <row r="461" customFormat="false" ht="15" hidden="false" customHeight="false" outlineLevel="0" collapsed="false">
      <c r="A461" s="0" t="s">
        <v>491</v>
      </c>
      <c r="B461" s="2" t="n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3</v>
      </c>
      <c r="N461" s="0" t="n">
        <v>0</v>
      </c>
      <c r="P461" s="0" t="n">
        <v>43.7</v>
      </c>
    </row>
    <row r="462" customFormat="false" ht="15" hidden="false" customHeight="false" outlineLevel="0" collapsed="false">
      <c r="A462" s="0" t="s">
        <v>492</v>
      </c>
      <c r="B462" s="2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0" t="n">
        <v>1</v>
      </c>
      <c r="I462" s="0" t="n">
        <v>1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P462" s="0" t="n">
        <v>51.3</v>
      </c>
    </row>
    <row r="463" customFormat="false" ht="15" hidden="false" customHeight="false" outlineLevel="0" collapsed="false">
      <c r="A463" s="0" t="s">
        <v>493</v>
      </c>
      <c r="B463" s="2" t="n">
        <v>45796</v>
      </c>
      <c r="C463" s="3" t="s">
        <v>17</v>
      </c>
      <c r="D463" s="3" t="s">
        <v>18</v>
      </c>
      <c r="F463" s="3" t="s">
        <v>25</v>
      </c>
      <c r="G463" s="3" t="s">
        <v>21</v>
      </c>
      <c r="H463" s="0" t="n">
        <v>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P463" s="0" t="n">
        <v>50.5</v>
      </c>
    </row>
    <row r="464" customFormat="false" ht="15" hidden="false" customHeight="false" outlineLevel="0" collapsed="false">
      <c r="A464" s="0" t="s">
        <v>494</v>
      </c>
      <c r="B464" s="2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0" t="n">
        <v>1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P464" s="0" t="n">
        <v>57.3</v>
      </c>
    </row>
    <row r="465" customFormat="false" ht="15" hidden="false" customHeight="false" outlineLevel="0" collapsed="false">
      <c r="A465" s="0" t="s">
        <v>495</v>
      </c>
      <c r="B465" s="2" t="n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0" t="n">
        <v>1</v>
      </c>
      <c r="I465" s="0" t="n">
        <v>1</v>
      </c>
      <c r="J465" s="0" t="n">
        <v>1</v>
      </c>
      <c r="K465" s="0" t="n">
        <v>0</v>
      </c>
      <c r="L465" s="0" t="n">
        <v>0</v>
      </c>
      <c r="M465" s="0" t="n">
        <v>0</v>
      </c>
      <c r="N465" s="0" t="n">
        <v>0</v>
      </c>
      <c r="P465" s="0" t="n">
        <v>58.4</v>
      </c>
    </row>
    <row r="466" customFormat="false" ht="15" hidden="false" customHeight="false" outlineLevel="0" collapsed="false">
      <c r="A466" s="0" t="s">
        <v>496</v>
      </c>
      <c r="B466" s="2" t="n">
        <v>45759</v>
      </c>
      <c r="C466" s="3" t="s">
        <v>17</v>
      </c>
      <c r="D466" s="3" t="s">
        <v>18</v>
      </c>
      <c r="E466" s="3" t="s">
        <v>24</v>
      </c>
      <c r="G466" s="3" t="s">
        <v>26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P466" s="0" t="n">
        <v>56.5</v>
      </c>
    </row>
    <row r="467" customFormat="false" ht="15" hidden="false" customHeight="false" outlineLevel="0" collapsed="false">
      <c r="A467" s="0" t="s">
        <v>497</v>
      </c>
      <c r="B467" s="2" t="n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P467" s="0" t="n">
        <v>69.6</v>
      </c>
    </row>
    <row r="468" customFormat="false" ht="15" hidden="false" customHeight="false" outlineLevel="0" collapsed="false">
      <c r="A468" s="0" t="s">
        <v>498</v>
      </c>
      <c r="B468" s="2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P468" s="0" t="n">
        <v>6.2</v>
      </c>
    </row>
    <row r="469" customFormat="false" ht="15" hidden="false" customHeight="false" outlineLevel="0" collapsed="false">
      <c r="A469" s="0" t="s">
        <v>499</v>
      </c>
      <c r="B469" s="2" t="n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0" t="n">
        <v>1</v>
      </c>
      <c r="I469" s="0" t="n">
        <v>1</v>
      </c>
      <c r="J469" s="0" t="n">
        <v>1</v>
      </c>
      <c r="K469" s="0" t="n">
        <v>0</v>
      </c>
      <c r="L469" s="0" t="n">
        <v>0</v>
      </c>
      <c r="M469" s="0" t="n">
        <v>0</v>
      </c>
      <c r="N469" s="0" t="n">
        <v>0</v>
      </c>
      <c r="P469" s="0" t="n">
        <v>54.3</v>
      </c>
    </row>
    <row r="470" customFormat="false" ht="15" hidden="false" customHeight="false" outlineLevel="0" collapsed="false">
      <c r="A470" s="0" t="s">
        <v>500</v>
      </c>
      <c r="B470" s="2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P470" s="0" t="n">
        <v>59.8</v>
      </c>
    </row>
    <row r="471" customFormat="false" ht="15" hidden="false" customHeight="false" outlineLevel="0" collapsed="false">
      <c r="A471" s="0" t="s">
        <v>501</v>
      </c>
      <c r="B471" s="2" t="n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P471" s="0" t="n">
        <v>58.9</v>
      </c>
    </row>
    <row r="472" customFormat="false" ht="15" hidden="false" customHeight="false" outlineLevel="0" collapsed="false">
      <c r="A472" s="0" t="s">
        <v>502</v>
      </c>
      <c r="B472" s="2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0</v>
      </c>
      <c r="P472" s="0" t="n">
        <v>52.9</v>
      </c>
    </row>
    <row r="473" customFormat="false" ht="15" hidden="false" customHeight="false" outlineLevel="0" collapsed="false">
      <c r="A473" s="0" t="s">
        <v>503</v>
      </c>
      <c r="B473" s="2" t="n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P473" s="0" t="n">
        <v>67.8</v>
      </c>
    </row>
    <row r="474" customFormat="false" ht="15" hidden="false" customHeight="false" outlineLevel="0" collapsed="false">
      <c r="A474" s="0" t="s">
        <v>504</v>
      </c>
      <c r="B474" s="2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P474" s="0" t="n">
        <v>48.7</v>
      </c>
    </row>
    <row r="475" customFormat="false" ht="15" hidden="false" customHeight="false" outlineLevel="0" collapsed="false">
      <c r="A475" s="0" t="s">
        <v>505</v>
      </c>
      <c r="B475" s="2" t="n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P475" s="0" t="n">
        <v>59</v>
      </c>
    </row>
    <row r="476" customFormat="false" ht="15" hidden="false" customHeight="false" outlineLevel="0" collapsed="false">
      <c r="A476" s="0" t="s">
        <v>506</v>
      </c>
      <c r="B476" s="2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P476" s="0" t="n">
        <v>63.2</v>
      </c>
    </row>
    <row r="477" customFormat="false" ht="15" hidden="false" customHeight="false" outlineLevel="0" collapsed="false">
      <c r="A477" s="0" t="s">
        <v>507</v>
      </c>
      <c r="B477" s="2" t="n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0" t="n">
        <v>1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P477" s="0" t="n">
        <v>68.7</v>
      </c>
    </row>
    <row r="478" customFormat="false" ht="15" hidden="false" customHeight="false" outlineLevel="0" collapsed="false">
      <c r="A478" s="0" t="s">
        <v>508</v>
      </c>
      <c r="B478" s="2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P478" s="0" t="n">
        <v>52.1</v>
      </c>
    </row>
    <row r="479" customFormat="false" ht="15" hidden="false" customHeight="false" outlineLevel="0" collapsed="false">
      <c r="A479" s="0" t="s">
        <v>509</v>
      </c>
      <c r="B479" s="2" t="n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P479" s="0" t="n">
        <v>56.5</v>
      </c>
    </row>
    <row r="480" customFormat="false" ht="15" hidden="false" customHeight="false" outlineLevel="0" collapsed="false">
      <c r="A480" s="0" t="s">
        <v>510</v>
      </c>
      <c r="B480" s="2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0" t="n">
        <v>1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P480" s="0" t="n">
        <v>64.4</v>
      </c>
    </row>
    <row r="481" customFormat="false" ht="15" hidden="false" customHeight="false" outlineLevel="0" collapsed="false">
      <c r="A481" s="0" t="s">
        <v>511</v>
      </c>
      <c r="B481" s="2" t="n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0" t="n">
        <v>1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P481" s="0" t="n">
        <v>65.9</v>
      </c>
    </row>
    <row r="482" customFormat="false" ht="15" hidden="false" customHeight="false" outlineLevel="0" collapsed="false">
      <c r="A482" s="0" t="s">
        <v>512</v>
      </c>
      <c r="B482" s="2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0" t="n">
        <v>1</v>
      </c>
      <c r="I482" s="0" t="n">
        <v>1</v>
      </c>
      <c r="J482" s="0" t="n">
        <v>1</v>
      </c>
      <c r="K482" s="0" t="n">
        <v>0</v>
      </c>
      <c r="L482" s="0" t="n">
        <v>0</v>
      </c>
      <c r="M482" s="0" t="n">
        <v>0</v>
      </c>
      <c r="N482" s="0" t="n">
        <v>0</v>
      </c>
      <c r="P482" s="0" t="n">
        <v>100</v>
      </c>
    </row>
    <row r="483" customFormat="false" ht="15" hidden="false" customHeight="false" outlineLevel="0" collapsed="false">
      <c r="A483" s="0" t="s">
        <v>513</v>
      </c>
      <c r="B483" s="2" t="n">
        <v>45701</v>
      </c>
      <c r="C483" s="3" t="s">
        <v>17</v>
      </c>
      <c r="D483" s="3" t="s">
        <v>18</v>
      </c>
      <c r="F483" s="3" t="s">
        <v>25</v>
      </c>
      <c r="G483" s="3" t="s">
        <v>21</v>
      </c>
      <c r="H483" s="0" t="n">
        <v>1</v>
      </c>
      <c r="I483" s="0" t="n">
        <v>1</v>
      </c>
      <c r="J483" s="0" t="n">
        <v>1</v>
      </c>
      <c r="K483" s="0" t="n">
        <v>0</v>
      </c>
      <c r="L483" s="0" t="n">
        <v>0</v>
      </c>
      <c r="M483" s="0" t="n">
        <v>0</v>
      </c>
      <c r="N483" s="0" t="n">
        <v>0</v>
      </c>
      <c r="P483" s="0" t="n">
        <v>50.4</v>
      </c>
    </row>
    <row r="484" customFormat="false" ht="15" hidden="false" customHeight="false" outlineLevel="0" collapsed="false">
      <c r="A484" s="0" t="s">
        <v>514</v>
      </c>
      <c r="B484" s="2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P484" s="0" t="n">
        <v>41.5</v>
      </c>
    </row>
    <row r="485" customFormat="false" ht="15" hidden="false" customHeight="false" outlineLevel="0" collapsed="false">
      <c r="A485" s="0" t="s">
        <v>515</v>
      </c>
      <c r="B485" s="2" t="n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P485" s="0" t="n">
        <v>86.2</v>
      </c>
    </row>
    <row r="486" customFormat="false" ht="15" hidden="false" customHeight="false" outlineLevel="0" collapsed="false">
      <c r="A486" s="0" t="s">
        <v>516</v>
      </c>
      <c r="B486" s="2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0" t="n">
        <v>1</v>
      </c>
      <c r="I486" s="0" t="n">
        <v>1</v>
      </c>
      <c r="J486" s="0" t="n">
        <v>1</v>
      </c>
      <c r="K486" s="0" t="n">
        <v>0</v>
      </c>
      <c r="L486" s="0" t="n">
        <v>0</v>
      </c>
      <c r="M486" s="0" t="n">
        <v>2</v>
      </c>
      <c r="N486" s="0" t="n">
        <v>0</v>
      </c>
      <c r="P486" s="0" t="n">
        <v>50.8</v>
      </c>
    </row>
    <row r="487" customFormat="false" ht="15" hidden="false" customHeight="false" outlineLevel="0" collapsed="false">
      <c r="A487" s="0" t="s">
        <v>517</v>
      </c>
      <c r="B487" s="2" t="n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0" t="n">
        <v>1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P487" s="0" t="n">
        <v>50.9</v>
      </c>
    </row>
    <row r="488" customFormat="false" ht="15" hidden="false" customHeight="false" outlineLevel="0" collapsed="false">
      <c r="A488" s="0" t="s">
        <v>518</v>
      </c>
      <c r="B488" s="2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0" t="n">
        <v>1</v>
      </c>
      <c r="I488" s="0" t="n">
        <v>1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P488" s="0" t="n">
        <v>87.5</v>
      </c>
    </row>
    <row r="489" customFormat="false" ht="15" hidden="false" customHeight="false" outlineLevel="0" collapsed="false">
      <c r="A489" s="0" t="s">
        <v>519</v>
      </c>
      <c r="B489" s="2" t="n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P489" s="0" t="n">
        <v>43.6</v>
      </c>
    </row>
    <row r="490" customFormat="false" ht="15" hidden="false" customHeight="false" outlineLevel="0" collapsed="false">
      <c r="A490" s="0" t="s">
        <v>520</v>
      </c>
      <c r="B490" s="2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0" t="n">
        <v>1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P490" s="0" t="n">
        <v>55.5</v>
      </c>
    </row>
    <row r="491" customFormat="false" ht="15" hidden="false" customHeight="false" outlineLevel="0" collapsed="false">
      <c r="A491" s="0" t="s">
        <v>521</v>
      </c>
      <c r="B491" s="2" t="n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P491" s="0" t="n">
        <v>78.6</v>
      </c>
    </row>
    <row r="492" customFormat="false" ht="15" hidden="false" customHeight="false" outlineLevel="0" collapsed="false">
      <c r="A492" s="0" t="s">
        <v>522</v>
      </c>
      <c r="B492" s="2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0" t="n">
        <v>1</v>
      </c>
      <c r="I492" s="0" t="n">
        <v>1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0</v>
      </c>
      <c r="P492" s="0" t="n">
        <v>44.3</v>
      </c>
    </row>
    <row r="493" customFormat="false" ht="15" hidden="false" customHeight="false" outlineLevel="0" collapsed="false">
      <c r="A493" s="0" t="s">
        <v>523</v>
      </c>
      <c r="B493" s="2" t="n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0" t="n">
        <v>1</v>
      </c>
      <c r="I493" s="0" t="n">
        <v>1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P493" s="0" t="n">
        <v>45.2</v>
      </c>
    </row>
    <row r="494" customFormat="false" ht="15" hidden="false" customHeight="false" outlineLevel="0" collapsed="false">
      <c r="A494" s="0" t="s">
        <v>524</v>
      </c>
      <c r="B494" s="2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0" t="n">
        <v>1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2</v>
      </c>
      <c r="N494" s="0" t="n">
        <v>0</v>
      </c>
      <c r="P494" s="0" t="n">
        <v>46.1</v>
      </c>
    </row>
    <row r="495" customFormat="false" ht="15" hidden="false" customHeight="false" outlineLevel="0" collapsed="false">
      <c r="A495" s="0" t="s">
        <v>525</v>
      </c>
      <c r="B495" s="2" t="n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0" t="n">
        <v>1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P495" s="0" t="n">
        <v>49.6</v>
      </c>
    </row>
    <row r="496" customFormat="false" ht="15" hidden="false" customHeight="false" outlineLevel="0" collapsed="false">
      <c r="A496" s="0" t="s">
        <v>526</v>
      </c>
      <c r="B496" s="2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P496" s="0" t="n">
        <v>70.5</v>
      </c>
    </row>
    <row r="497" customFormat="false" ht="15" hidden="false" customHeight="false" outlineLevel="0" collapsed="false">
      <c r="A497" s="0" t="s">
        <v>527</v>
      </c>
      <c r="B497" s="2" t="n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0</v>
      </c>
      <c r="P497" s="0" t="n">
        <v>60.8</v>
      </c>
    </row>
    <row r="498" customFormat="false" ht="15" hidden="false" customHeight="false" outlineLevel="0" collapsed="false">
      <c r="A498" s="0" t="s">
        <v>528</v>
      </c>
      <c r="B498" s="2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0</v>
      </c>
      <c r="P498" s="0" t="n">
        <v>50.5</v>
      </c>
    </row>
    <row r="499" customFormat="false" ht="15" hidden="false" customHeight="false" outlineLevel="0" collapsed="false">
      <c r="A499" s="0" t="s">
        <v>529</v>
      </c>
      <c r="B499" s="2" t="n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0" t="n">
        <v>1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P499" s="0" t="n">
        <v>54.9</v>
      </c>
    </row>
    <row r="500" customFormat="false" ht="15" hidden="false" customHeight="false" outlineLevel="0" collapsed="false">
      <c r="A500" s="0" t="s">
        <v>530</v>
      </c>
      <c r="B500" s="2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P500" s="0" t="n">
        <v>29.9</v>
      </c>
    </row>
    <row r="501" customFormat="false" ht="15" hidden="false" customHeight="false" outlineLevel="0" collapsed="false">
      <c r="A501" s="0" t="s">
        <v>531</v>
      </c>
      <c r="B501" s="2" t="n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P501" s="0" t="n">
        <v>48.3</v>
      </c>
    </row>
    <row r="502" customFormat="false" ht="15" hidden="false" customHeight="false" outlineLevel="0" collapsed="false">
      <c r="A502" s="0" t="s">
        <v>532</v>
      </c>
      <c r="B502" s="2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0" t="n">
        <v>1</v>
      </c>
      <c r="I502" s="0" t="n">
        <v>1</v>
      </c>
      <c r="J502" s="0" t="n">
        <v>1</v>
      </c>
      <c r="K502" s="0" t="n">
        <v>1</v>
      </c>
      <c r="L502" s="0" t="n">
        <v>513.61</v>
      </c>
      <c r="M502" s="0" t="n">
        <v>0</v>
      </c>
      <c r="N502" s="0" t="n">
        <v>0</v>
      </c>
      <c r="O502" s="0" t="n">
        <v>7</v>
      </c>
      <c r="P502" s="0" t="n">
        <v>41.3</v>
      </c>
    </row>
    <row r="503" customFormat="false" ht="15" hidden="false" customHeight="false" outlineLevel="0" collapsed="false">
      <c r="A503" s="0" t="s">
        <v>533</v>
      </c>
      <c r="B503" s="2" t="n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P503" s="0" t="n">
        <v>61.4</v>
      </c>
    </row>
    <row r="504" customFormat="false" ht="15" hidden="false" customHeight="false" outlineLevel="0" collapsed="false">
      <c r="A504" s="0" t="s">
        <v>534</v>
      </c>
      <c r="B504" s="2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P504" s="0" t="n">
        <v>57.8</v>
      </c>
    </row>
    <row r="505" customFormat="false" ht="15" hidden="false" customHeight="false" outlineLevel="0" collapsed="false">
      <c r="A505" s="0" t="s">
        <v>535</v>
      </c>
      <c r="B505" s="2" t="n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P505" s="0" t="n">
        <v>78.2</v>
      </c>
    </row>
    <row r="506" customFormat="false" ht="15" hidden="false" customHeight="false" outlineLevel="0" collapsed="false">
      <c r="A506" s="0" t="s">
        <v>536</v>
      </c>
      <c r="B506" s="2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P506" s="0" t="n">
        <v>63.8</v>
      </c>
    </row>
    <row r="507" customFormat="false" ht="15" hidden="false" customHeight="false" outlineLevel="0" collapsed="false">
      <c r="A507" s="0" t="s">
        <v>537</v>
      </c>
      <c r="B507" s="2" t="n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0" t="n">
        <v>1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P507" s="0" t="n">
        <v>56.8</v>
      </c>
    </row>
    <row r="508" customFormat="false" ht="15" hidden="false" customHeight="false" outlineLevel="0" collapsed="false">
      <c r="A508" s="0" t="s">
        <v>538</v>
      </c>
      <c r="B508" s="2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0" t="n">
        <v>1</v>
      </c>
      <c r="I508" s="0" t="n">
        <v>1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P508" s="0" t="n">
        <v>59.6</v>
      </c>
    </row>
    <row r="509" customFormat="false" ht="15" hidden="false" customHeight="false" outlineLevel="0" collapsed="false">
      <c r="A509" s="0" t="s">
        <v>539</v>
      </c>
      <c r="B509" s="2" t="n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0" t="n">
        <v>1</v>
      </c>
      <c r="I509" s="0" t="n">
        <v>1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P509" s="0" t="n">
        <v>50</v>
      </c>
    </row>
    <row r="510" customFormat="false" ht="15" hidden="false" customHeight="false" outlineLevel="0" collapsed="false">
      <c r="A510" s="0" t="s">
        <v>540</v>
      </c>
      <c r="B510" s="2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0" t="n">
        <v>1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P510" s="0" t="n">
        <v>35.7</v>
      </c>
    </row>
    <row r="511" customFormat="false" ht="15" hidden="false" customHeight="false" outlineLevel="0" collapsed="false">
      <c r="A511" s="0" t="s">
        <v>541</v>
      </c>
      <c r="B511" s="2" t="n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2</v>
      </c>
      <c r="N511" s="0" t="n">
        <v>0</v>
      </c>
      <c r="P511" s="0" t="n">
        <v>47.2</v>
      </c>
    </row>
    <row r="512" customFormat="false" ht="15" hidden="false" customHeight="false" outlineLevel="0" collapsed="false">
      <c r="A512" s="0" t="s">
        <v>542</v>
      </c>
      <c r="B512" s="2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0" t="n">
        <v>1</v>
      </c>
      <c r="I512" s="0" t="n">
        <v>1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P512" s="0" t="n">
        <v>56.9</v>
      </c>
    </row>
    <row r="513" customFormat="false" ht="15" hidden="false" customHeight="false" outlineLevel="0" collapsed="false">
      <c r="A513" s="0" t="s">
        <v>543</v>
      </c>
      <c r="B513" s="2" t="n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0</v>
      </c>
      <c r="P513" s="0" t="n">
        <v>57.2</v>
      </c>
    </row>
    <row r="514" customFormat="false" ht="15" hidden="false" customHeight="false" outlineLevel="0" collapsed="false">
      <c r="A514" s="0" t="s">
        <v>544</v>
      </c>
      <c r="B514" s="2" t="n">
        <v>45701</v>
      </c>
      <c r="C514" s="3" t="s">
        <v>17</v>
      </c>
      <c r="D514" s="3" t="s">
        <v>32</v>
      </c>
      <c r="E514" s="3" t="s">
        <v>24</v>
      </c>
      <c r="G514" s="3" t="s">
        <v>26</v>
      </c>
      <c r="H514" s="0" t="n">
        <v>1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P514" s="0" t="n">
        <v>31.4</v>
      </c>
    </row>
    <row r="515" customFormat="false" ht="15" hidden="false" customHeight="false" outlineLevel="0" collapsed="false">
      <c r="A515" s="0" t="s">
        <v>545</v>
      </c>
      <c r="B515" s="2" t="n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P515" s="0" t="n">
        <v>71.2</v>
      </c>
    </row>
    <row r="516" customFormat="false" ht="15" hidden="false" customHeight="false" outlineLevel="0" collapsed="false">
      <c r="A516" s="0" t="s">
        <v>546</v>
      </c>
      <c r="B516" s="2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0" t="n">
        <v>1</v>
      </c>
      <c r="I516" s="0" t="n">
        <v>1</v>
      </c>
      <c r="J516" s="0" t="n">
        <v>1</v>
      </c>
      <c r="K516" s="0" t="n">
        <v>0</v>
      </c>
      <c r="L516" s="0" t="n">
        <v>0</v>
      </c>
      <c r="M516" s="0" t="n">
        <v>1</v>
      </c>
      <c r="N516" s="0" t="n">
        <v>0</v>
      </c>
      <c r="P516" s="0" t="n">
        <v>38.3</v>
      </c>
    </row>
    <row r="517" customFormat="false" ht="15" hidden="false" customHeight="false" outlineLevel="0" collapsed="false">
      <c r="A517" s="0" t="s">
        <v>547</v>
      </c>
      <c r="B517" s="2" t="n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0" t="n">
        <v>1</v>
      </c>
      <c r="I517" s="0" t="n">
        <v>1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P517" s="0" t="n">
        <v>63.1</v>
      </c>
    </row>
    <row r="518" customFormat="false" ht="15" hidden="false" customHeight="false" outlineLevel="0" collapsed="false">
      <c r="A518" s="0" t="s">
        <v>548</v>
      </c>
      <c r="B518" s="2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0" t="n">
        <v>1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P518" s="0" t="n">
        <v>59.7</v>
      </c>
    </row>
    <row r="519" customFormat="false" ht="15" hidden="false" customHeight="false" outlineLevel="0" collapsed="false">
      <c r="A519" s="0" t="s">
        <v>549</v>
      </c>
      <c r="B519" s="2" t="n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0" t="n">
        <v>1</v>
      </c>
      <c r="I519" s="0" t="n">
        <v>1</v>
      </c>
      <c r="J519" s="0" t="n">
        <v>1</v>
      </c>
      <c r="K519" s="0" t="n">
        <v>0</v>
      </c>
      <c r="L519" s="0" t="n">
        <v>0</v>
      </c>
      <c r="M519" s="0" t="n">
        <v>0</v>
      </c>
      <c r="N519" s="0" t="n">
        <v>0</v>
      </c>
      <c r="P519" s="0" t="n">
        <v>59.5</v>
      </c>
    </row>
    <row r="520" customFormat="false" ht="15" hidden="false" customHeight="false" outlineLevel="0" collapsed="false">
      <c r="A520" s="0" t="s">
        <v>550</v>
      </c>
      <c r="B520" s="2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P520" s="0" t="n">
        <v>78.8</v>
      </c>
    </row>
    <row r="521" customFormat="false" ht="15" hidden="false" customHeight="false" outlineLevel="0" collapsed="false">
      <c r="A521" s="0" t="s">
        <v>551</v>
      </c>
      <c r="B521" s="2" t="n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P521" s="0" t="n">
        <v>54</v>
      </c>
    </row>
    <row r="522" customFormat="false" ht="15" hidden="false" customHeight="false" outlineLevel="0" collapsed="false">
      <c r="A522" s="0" t="s">
        <v>552</v>
      </c>
      <c r="B522" s="2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0" t="n">
        <v>1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P522" s="0" t="n">
        <v>66.3</v>
      </c>
    </row>
    <row r="523" customFormat="false" ht="15" hidden="false" customHeight="false" outlineLevel="0" collapsed="false">
      <c r="A523" s="0" t="s">
        <v>553</v>
      </c>
      <c r="B523" s="2" t="n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0" t="n">
        <v>1</v>
      </c>
      <c r="I523" s="0" t="n">
        <v>1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P523" s="0" t="n">
        <v>54.7</v>
      </c>
    </row>
    <row r="524" customFormat="false" ht="15" hidden="false" customHeight="false" outlineLevel="0" collapsed="false">
      <c r="A524" s="0" t="s">
        <v>554</v>
      </c>
      <c r="B524" s="2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0" t="n">
        <v>1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P524" s="0" t="n">
        <v>76.7</v>
      </c>
    </row>
    <row r="525" customFormat="false" ht="15" hidden="false" customHeight="false" outlineLevel="0" collapsed="false">
      <c r="A525" s="0" t="s">
        <v>555</v>
      </c>
      <c r="B525" s="2" t="n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0" t="n">
        <v>1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2</v>
      </c>
      <c r="N525" s="0" t="n">
        <v>0</v>
      </c>
      <c r="P525" s="0" t="n">
        <v>47.4</v>
      </c>
    </row>
    <row r="526" customFormat="false" ht="15" hidden="false" customHeight="false" outlineLevel="0" collapsed="false">
      <c r="A526" s="0" t="s">
        <v>556</v>
      </c>
      <c r="B526" s="2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0" t="n">
        <v>1</v>
      </c>
      <c r="I526" s="0" t="n">
        <v>1</v>
      </c>
      <c r="J526" s="0" t="n">
        <v>1</v>
      </c>
      <c r="K526" s="0" t="n">
        <v>0</v>
      </c>
      <c r="L526" s="0" t="n">
        <v>0</v>
      </c>
      <c r="M526" s="0" t="n">
        <v>0</v>
      </c>
      <c r="N526" s="0" t="n">
        <v>0</v>
      </c>
      <c r="P526" s="0" t="n">
        <v>81.7</v>
      </c>
    </row>
    <row r="527" customFormat="false" ht="15" hidden="false" customHeight="false" outlineLevel="0" collapsed="false">
      <c r="A527" s="0" t="s">
        <v>557</v>
      </c>
      <c r="B527" s="2" t="n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0" t="n">
        <v>1</v>
      </c>
      <c r="I527" s="0" t="n">
        <v>1</v>
      </c>
      <c r="J527" s="0" t="n">
        <v>1</v>
      </c>
      <c r="K527" s="0" t="n">
        <v>0</v>
      </c>
      <c r="L527" s="0" t="n">
        <v>0</v>
      </c>
      <c r="M527" s="0" t="n">
        <v>0</v>
      </c>
      <c r="N527" s="0" t="n">
        <v>0</v>
      </c>
      <c r="P527" s="0" t="n">
        <v>67.5</v>
      </c>
    </row>
    <row r="528" customFormat="false" ht="15" hidden="false" customHeight="false" outlineLevel="0" collapsed="false">
      <c r="A528" s="0" t="s">
        <v>558</v>
      </c>
      <c r="B528" s="2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0" t="n">
        <v>1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P528" s="0" t="n">
        <v>36.8</v>
      </c>
    </row>
    <row r="529" customFormat="false" ht="15" hidden="false" customHeight="false" outlineLevel="0" collapsed="false">
      <c r="A529" s="0" t="s">
        <v>559</v>
      </c>
      <c r="B529" s="2" t="n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P529" s="0" t="n">
        <v>66.5</v>
      </c>
    </row>
    <row r="530" customFormat="false" ht="15" hidden="false" customHeight="false" outlineLevel="0" collapsed="false">
      <c r="A530" s="0" t="s">
        <v>560</v>
      </c>
      <c r="B530" s="2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0" t="n">
        <v>1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P530" s="0" t="n">
        <v>35.4</v>
      </c>
    </row>
    <row r="531" customFormat="false" ht="15" hidden="false" customHeight="false" outlineLevel="0" collapsed="false">
      <c r="A531" s="0" t="s">
        <v>561</v>
      </c>
      <c r="B531" s="2" t="n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P531" s="0" t="n">
        <v>64.3</v>
      </c>
    </row>
    <row r="532" customFormat="false" ht="15" hidden="false" customHeight="false" outlineLevel="0" collapsed="false">
      <c r="A532" s="0" t="s">
        <v>562</v>
      </c>
      <c r="B532" s="2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P532" s="0" t="n">
        <v>49.1</v>
      </c>
    </row>
    <row r="533" customFormat="false" ht="15" hidden="false" customHeight="false" outlineLevel="0" collapsed="false">
      <c r="A533" s="0" t="s">
        <v>563</v>
      </c>
      <c r="B533" s="2" t="n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P533" s="0" t="n">
        <v>84.3</v>
      </c>
    </row>
    <row r="534" customFormat="false" ht="15" hidden="false" customHeight="false" outlineLevel="0" collapsed="false">
      <c r="A534" s="0" t="s">
        <v>564</v>
      </c>
      <c r="B534" s="2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0" t="n">
        <v>1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P534" s="0" t="n">
        <v>65.6</v>
      </c>
    </row>
    <row r="535" customFormat="false" ht="15" hidden="false" customHeight="false" outlineLevel="0" collapsed="false">
      <c r="A535" s="0" t="s">
        <v>565</v>
      </c>
      <c r="B535" s="2" t="n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0" t="n">
        <v>1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P535" s="0" t="n">
        <v>47.1</v>
      </c>
    </row>
    <row r="536" customFormat="false" ht="15" hidden="false" customHeight="false" outlineLevel="0" collapsed="false">
      <c r="A536" s="0" t="s">
        <v>566</v>
      </c>
      <c r="B536" s="2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0" t="n">
        <v>1</v>
      </c>
      <c r="I536" s="0" t="n">
        <v>1</v>
      </c>
      <c r="J536" s="0" t="n">
        <v>1</v>
      </c>
      <c r="K536" s="0" t="n">
        <v>0</v>
      </c>
      <c r="L536" s="0" t="n">
        <v>0</v>
      </c>
      <c r="M536" s="0" t="n">
        <v>0</v>
      </c>
      <c r="N536" s="0" t="n">
        <v>0</v>
      </c>
      <c r="P536" s="0" t="n">
        <v>70</v>
      </c>
    </row>
    <row r="537" customFormat="false" ht="15" hidden="false" customHeight="false" outlineLevel="0" collapsed="false">
      <c r="A537" s="0" t="s">
        <v>567</v>
      </c>
      <c r="B537" s="2" t="n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0" t="n">
        <v>1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P537" s="0" t="n">
        <v>54.6</v>
      </c>
    </row>
    <row r="538" customFormat="false" ht="15" hidden="false" customHeight="false" outlineLevel="0" collapsed="false">
      <c r="A538" s="0" t="s">
        <v>568</v>
      </c>
      <c r="B538" s="2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0" t="n">
        <v>1</v>
      </c>
      <c r="I538" s="0" t="n">
        <v>1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0</v>
      </c>
      <c r="P538" s="0" t="n">
        <v>65.2</v>
      </c>
    </row>
    <row r="539" customFormat="false" ht="15" hidden="false" customHeight="false" outlineLevel="0" collapsed="false">
      <c r="A539" s="0" t="s">
        <v>569</v>
      </c>
      <c r="B539" s="2" t="n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0" t="n">
        <v>1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P539" s="0" t="n">
        <v>65</v>
      </c>
    </row>
    <row r="540" customFormat="false" ht="15" hidden="false" customHeight="false" outlineLevel="0" collapsed="false">
      <c r="A540" s="0" t="s">
        <v>570</v>
      </c>
      <c r="B540" s="2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0" t="n">
        <v>1</v>
      </c>
      <c r="I540" s="0" t="n">
        <v>1</v>
      </c>
      <c r="J540" s="0" t="n">
        <v>1</v>
      </c>
      <c r="K540" s="0" t="n">
        <v>0</v>
      </c>
      <c r="L540" s="0" t="n">
        <v>0</v>
      </c>
      <c r="M540" s="0" t="n">
        <v>1</v>
      </c>
      <c r="N540" s="0" t="n">
        <v>0</v>
      </c>
      <c r="P540" s="0" t="n">
        <v>42.1</v>
      </c>
    </row>
    <row r="541" customFormat="false" ht="15" hidden="false" customHeight="false" outlineLevel="0" collapsed="false">
      <c r="A541" s="0" t="s">
        <v>571</v>
      </c>
      <c r="B541" s="2" t="n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0" t="n">
        <v>1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P541" s="0" t="n">
        <v>43.4</v>
      </c>
    </row>
    <row r="542" customFormat="false" ht="15" hidden="false" customHeight="false" outlineLevel="0" collapsed="false">
      <c r="A542" s="0" t="s">
        <v>572</v>
      </c>
      <c r="B542" s="2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0" t="n">
        <v>1</v>
      </c>
      <c r="I542" s="0" t="n">
        <v>1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P542" s="0" t="n">
        <v>39.9</v>
      </c>
    </row>
    <row r="543" customFormat="false" ht="15" hidden="false" customHeight="false" outlineLevel="0" collapsed="false">
      <c r="A543" s="0" t="s">
        <v>573</v>
      </c>
      <c r="B543" s="2" t="n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P543" s="0" t="n">
        <v>74.1</v>
      </c>
    </row>
    <row r="544" customFormat="false" ht="15" hidden="false" customHeight="false" outlineLevel="0" collapsed="false">
      <c r="A544" s="0" t="s">
        <v>574</v>
      </c>
      <c r="B544" s="2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0" t="n">
        <v>1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P544" s="0" t="n">
        <v>61.4</v>
      </c>
    </row>
    <row r="545" customFormat="false" ht="15" hidden="false" customHeight="false" outlineLevel="0" collapsed="false">
      <c r="A545" s="0" t="s">
        <v>575</v>
      </c>
      <c r="B545" s="2" t="n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0" t="n">
        <v>1</v>
      </c>
      <c r="I545" s="0" t="n">
        <v>1</v>
      </c>
      <c r="J545" s="0" t="n">
        <v>1</v>
      </c>
      <c r="K545" s="0" t="n">
        <v>0</v>
      </c>
      <c r="L545" s="0" t="n">
        <v>0</v>
      </c>
      <c r="M545" s="0" t="n">
        <v>0</v>
      </c>
      <c r="N545" s="0" t="n">
        <v>0</v>
      </c>
      <c r="P545" s="0" t="n">
        <v>76.8</v>
      </c>
    </row>
    <row r="546" customFormat="false" ht="15" hidden="false" customHeight="false" outlineLevel="0" collapsed="false">
      <c r="A546" s="0" t="s">
        <v>576</v>
      </c>
      <c r="B546" s="2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</row>
    <row r="547" customFormat="false" ht="15" hidden="false" customHeight="false" outlineLevel="0" collapsed="false">
      <c r="A547" s="0" t="s">
        <v>577</v>
      </c>
      <c r="B547" s="2" t="n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0" t="n">
        <v>1</v>
      </c>
      <c r="I547" s="0" t="n">
        <v>1</v>
      </c>
      <c r="J547" s="0" t="n">
        <v>1</v>
      </c>
      <c r="K547" s="0" t="n">
        <v>0</v>
      </c>
      <c r="L547" s="0" t="n">
        <v>0</v>
      </c>
      <c r="M547" s="0" t="n">
        <v>0</v>
      </c>
      <c r="N547" s="0" t="n">
        <v>0</v>
      </c>
      <c r="P547" s="0" t="n">
        <v>45.3</v>
      </c>
    </row>
    <row r="548" customFormat="false" ht="15" hidden="false" customHeight="false" outlineLevel="0" collapsed="false">
      <c r="A548" s="0" t="s">
        <v>578</v>
      </c>
      <c r="B548" s="2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0" t="n">
        <v>1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P548" s="0" t="n">
        <v>41.4</v>
      </c>
    </row>
    <row r="549" customFormat="false" ht="15" hidden="false" customHeight="false" outlineLevel="0" collapsed="false">
      <c r="A549" s="0" t="s">
        <v>579</v>
      </c>
      <c r="B549" s="2" t="n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0" t="n">
        <v>1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P549" s="0" t="n">
        <v>37.1</v>
      </c>
    </row>
    <row r="550" customFormat="false" ht="15" hidden="false" customHeight="false" outlineLevel="0" collapsed="false">
      <c r="A550" s="0" t="s">
        <v>580</v>
      </c>
      <c r="B550" s="2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0" t="n">
        <v>1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P550" s="0" t="n">
        <v>40.7</v>
      </c>
    </row>
    <row r="551" customFormat="false" ht="15" hidden="false" customHeight="false" outlineLevel="0" collapsed="false">
      <c r="A551" s="0" t="s">
        <v>581</v>
      </c>
      <c r="B551" s="2" t="n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2</v>
      </c>
      <c r="N551" s="0" t="n">
        <v>0</v>
      </c>
      <c r="P551" s="0" t="n">
        <v>55.9</v>
      </c>
    </row>
    <row r="552" customFormat="false" ht="15" hidden="false" customHeight="false" outlineLevel="0" collapsed="false">
      <c r="A552" s="0" t="s">
        <v>582</v>
      </c>
      <c r="B552" s="2" t="n">
        <v>45699</v>
      </c>
      <c r="C552" s="3" t="s">
        <v>17</v>
      </c>
      <c r="D552" s="3" t="s">
        <v>28</v>
      </c>
      <c r="F552" s="3" t="s">
        <v>41</v>
      </c>
      <c r="G552" s="3" t="s">
        <v>26</v>
      </c>
      <c r="H552" s="0" t="n">
        <v>1</v>
      </c>
      <c r="I552" s="0" t="n">
        <v>1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P552" s="0" t="n">
        <v>55.8</v>
      </c>
    </row>
    <row r="553" customFormat="false" ht="15" hidden="false" customHeight="false" outlineLevel="0" collapsed="false">
      <c r="A553" s="0" t="s">
        <v>583</v>
      </c>
      <c r="B553" s="2" t="n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0" t="n">
        <v>1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P553" s="0" t="n">
        <v>64.3</v>
      </c>
    </row>
    <row r="554" customFormat="false" ht="15" hidden="false" customHeight="false" outlineLevel="0" collapsed="false">
      <c r="A554" s="0" t="s">
        <v>584</v>
      </c>
      <c r="B554" s="2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P554" s="0" t="n">
        <v>65.4</v>
      </c>
    </row>
    <row r="555" customFormat="false" ht="15" hidden="false" customHeight="false" outlineLevel="0" collapsed="false">
      <c r="A555" s="0" t="s">
        <v>585</v>
      </c>
      <c r="B555" s="2" t="n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0" t="n">
        <v>1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P555" s="0" t="n">
        <v>89.8</v>
      </c>
    </row>
    <row r="556" customFormat="false" ht="15" hidden="false" customHeight="false" outlineLevel="0" collapsed="false">
      <c r="A556" s="0" t="s">
        <v>586</v>
      </c>
      <c r="B556" s="2" t="n">
        <v>45699</v>
      </c>
      <c r="C556" s="3" t="s">
        <v>17</v>
      </c>
      <c r="D556" s="3" t="s">
        <v>32</v>
      </c>
      <c r="F556" s="3" t="s">
        <v>25</v>
      </c>
      <c r="G556" s="3" t="s">
        <v>26</v>
      </c>
      <c r="H556" s="0" t="n">
        <v>1</v>
      </c>
      <c r="I556" s="0" t="n">
        <v>1</v>
      </c>
      <c r="J556" s="0" t="n">
        <v>1</v>
      </c>
      <c r="K556" s="0" t="n">
        <v>0</v>
      </c>
      <c r="L556" s="0" t="n">
        <v>0</v>
      </c>
      <c r="M556" s="0" t="n">
        <v>0</v>
      </c>
      <c r="N556" s="0" t="n">
        <v>0</v>
      </c>
      <c r="P556" s="0" t="n">
        <v>58.3</v>
      </c>
    </row>
    <row r="557" customFormat="false" ht="15" hidden="false" customHeight="false" outlineLevel="0" collapsed="false">
      <c r="A557" s="0" t="s">
        <v>587</v>
      </c>
      <c r="B557" s="2" t="n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0" t="n">
        <v>1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P557" s="0" t="n">
        <v>64.4</v>
      </c>
    </row>
    <row r="558" customFormat="false" ht="15" hidden="false" customHeight="false" outlineLevel="0" collapsed="false">
      <c r="A558" s="0" t="s">
        <v>588</v>
      </c>
      <c r="B558" s="2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P558" s="0" t="n">
        <v>46.2</v>
      </c>
    </row>
    <row r="559" customFormat="false" ht="15" hidden="false" customHeight="false" outlineLevel="0" collapsed="false">
      <c r="A559" s="0" t="s">
        <v>589</v>
      </c>
      <c r="B559" s="2" t="n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P559" s="0" t="n">
        <v>78</v>
      </c>
    </row>
    <row r="560" customFormat="false" ht="15" hidden="false" customHeight="false" outlineLevel="0" collapsed="false">
      <c r="A560" s="0" t="s">
        <v>590</v>
      </c>
      <c r="B560" s="2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0" t="n">
        <v>1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P560" s="0" t="n">
        <v>62.3</v>
      </c>
    </row>
    <row r="561" customFormat="false" ht="15" hidden="false" customHeight="false" outlineLevel="0" collapsed="false">
      <c r="A561" s="0" t="s">
        <v>591</v>
      </c>
      <c r="B561" s="2" t="n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0" t="n">
        <v>1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P561" s="0" t="n">
        <v>78.8</v>
      </c>
    </row>
    <row r="562" customFormat="false" ht="15" hidden="false" customHeight="false" outlineLevel="0" collapsed="false">
      <c r="A562" s="0" t="s">
        <v>592</v>
      </c>
      <c r="B562" s="2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0" t="n">
        <v>1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P562" s="0" t="n">
        <v>25</v>
      </c>
    </row>
    <row r="563" customFormat="false" ht="15" hidden="false" customHeight="false" outlineLevel="0" collapsed="false">
      <c r="A563" s="0" t="s">
        <v>593</v>
      </c>
      <c r="B563" s="2" t="n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P563" s="0" t="n">
        <v>53.4</v>
      </c>
    </row>
    <row r="564" customFormat="false" ht="15" hidden="false" customHeight="false" outlineLevel="0" collapsed="false">
      <c r="A564" s="0" t="s">
        <v>594</v>
      </c>
      <c r="B564" s="2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P564" s="0" t="n">
        <v>40.7</v>
      </c>
    </row>
    <row r="565" customFormat="false" ht="15" hidden="false" customHeight="false" outlineLevel="0" collapsed="false">
      <c r="A565" s="0" t="s">
        <v>595</v>
      </c>
      <c r="B565" s="2" t="n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0" t="n">
        <v>1</v>
      </c>
      <c r="I565" s="0" t="n">
        <v>1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P565" s="0" t="n">
        <v>36.7</v>
      </c>
    </row>
    <row r="566" customFormat="false" ht="15" hidden="false" customHeight="false" outlineLevel="0" collapsed="false">
      <c r="A566" s="0" t="s">
        <v>596</v>
      </c>
      <c r="B566" s="2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0" t="n">
        <v>1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0</v>
      </c>
      <c r="P566" s="0" t="n">
        <v>67.5</v>
      </c>
    </row>
    <row r="567" customFormat="false" ht="15" hidden="false" customHeight="false" outlineLevel="0" collapsed="false">
      <c r="A567" s="0" t="s">
        <v>597</v>
      </c>
      <c r="B567" s="2" t="n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0" t="n">
        <v>1</v>
      </c>
      <c r="I567" s="0" t="n">
        <v>1</v>
      </c>
      <c r="J567" s="0" t="n">
        <v>1</v>
      </c>
      <c r="K567" s="0" t="n">
        <v>0</v>
      </c>
      <c r="L567" s="0" t="n">
        <v>0</v>
      </c>
      <c r="M567" s="0" t="n">
        <v>0</v>
      </c>
      <c r="N567" s="0" t="n">
        <v>0</v>
      </c>
      <c r="P567" s="0" t="n">
        <v>69.9</v>
      </c>
    </row>
    <row r="568" customFormat="false" ht="15" hidden="false" customHeight="false" outlineLevel="0" collapsed="false">
      <c r="A568" s="0" t="s">
        <v>598</v>
      </c>
      <c r="B568" s="2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0" t="n">
        <v>1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P568" s="0" t="n">
        <v>65.1</v>
      </c>
    </row>
    <row r="569" customFormat="false" ht="15" hidden="false" customHeight="false" outlineLevel="0" collapsed="false">
      <c r="A569" s="0" t="s">
        <v>599</v>
      </c>
      <c r="B569" s="2" t="n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0" t="n">
        <v>1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P569" s="0" t="n">
        <v>48.7</v>
      </c>
    </row>
    <row r="570" customFormat="false" ht="15" hidden="false" customHeight="false" outlineLevel="0" collapsed="false">
      <c r="A570" s="0" t="s">
        <v>600</v>
      </c>
      <c r="B570" s="2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0" t="n">
        <v>1</v>
      </c>
      <c r="I570" s="0" t="n">
        <v>1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P570" s="0" t="n">
        <v>47.2</v>
      </c>
    </row>
    <row r="571" customFormat="false" ht="15" hidden="false" customHeight="false" outlineLevel="0" collapsed="false">
      <c r="A571" s="0" t="s">
        <v>601</v>
      </c>
      <c r="B571" s="2" t="n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0" t="n">
        <v>1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2</v>
      </c>
      <c r="N571" s="0" t="n">
        <v>0</v>
      </c>
      <c r="P571" s="0" t="n">
        <v>20.3</v>
      </c>
    </row>
    <row r="572" customFormat="false" ht="15" hidden="false" customHeight="false" outlineLevel="0" collapsed="false">
      <c r="A572" s="0" t="s">
        <v>602</v>
      </c>
      <c r="B572" s="2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0</v>
      </c>
      <c r="P572" s="0" t="n">
        <v>57.8</v>
      </c>
    </row>
    <row r="573" customFormat="false" ht="15" hidden="false" customHeight="false" outlineLevel="0" collapsed="false">
      <c r="A573" s="0" t="s">
        <v>603</v>
      </c>
      <c r="B573" s="2" t="n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P573" s="0" t="n">
        <v>78.7</v>
      </c>
    </row>
    <row r="574" customFormat="false" ht="15" hidden="false" customHeight="false" outlineLevel="0" collapsed="false">
      <c r="A574" s="0" t="s">
        <v>604</v>
      </c>
      <c r="B574" s="2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0" t="n">
        <v>1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P574" s="0" t="n">
        <v>63.6</v>
      </c>
    </row>
    <row r="575" customFormat="false" ht="15" hidden="false" customHeight="false" outlineLevel="0" collapsed="false">
      <c r="A575" s="0" t="s">
        <v>605</v>
      </c>
      <c r="B575" s="2" t="n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2</v>
      </c>
      <c r="N575" s="0" t="n">
        <v>0</v>
      </c>
      <c r="P575" s="0" t="n">
        <v>45.1</v>
      </c>
    </row>
    <row r="576" customFormat="false" ht="15" hidden="false" customHeight="false" outlineLevel="0" collapsed="false">
      <c r="A576" s="0" t="s">
        <v>606</v>
      </c>
      <c r="B576" s="2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P576" s="0" t="n">
        <v>77.5</v>
      </c>
    </row>
    <row r="577" customFormat="false" ht="15" hidden="false" customHeight="false" outlineLevel="0" collapsed="false">
      <c r="A577" s="0" t="s">
        <v>607</v>
      </c>
      <c r="B577" s="2" t="n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0" t="n">
        <v>1</v>
      </c>
      <c r="I577" s="0" t="n">
        <v>1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P577" s="0" t="n">
        <v>58</v>
      </c>
    </row>
    <row r="578" customFormat="false" ht="15" hidden="false" customHeight="false" outlineLevel="0" collapsed="false">
      <c r="A578" s="0" t="s">
        <v>608</v>
      </c>
      <c r="B578" s="2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0" t="n">
        <v>1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P578" s="0" t="n">
        <v>68.1</v>
      </c>
    </row>
    <row r="579" customFormat="false" ht="15" hidden="false" customHeight="false" outlineLevel="0" collapsed="false">
      <c r="A579" s="0" t="s">
        <v>609</v>
      </c>
      <c r="B579" s="2" t="n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0" t="n">
        <v>1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P579" s="0" t="n">
        <v>35.4</v>
      </c>
    </row>
    <row r="580" customFormat="false" ht="15" hidden="false" customHeight="false" outlineLevel="0" collapsed="false">
      <c r="A580" s="0" t="s">
        <v>610</v>
      </c>
      <c r="B580" s="2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P580" s="0" t="n">
        <v>47</v>
      </c>
    </row>
    <row r="581" customFormat="false" ht="15" hidden="false" customHeight="false" outlineLevel="0" collapsed="false">
      <c r="A581" s="0" t="s">
        <v>611</v>
      </c>
      <c r="B581" s="2" t="n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P581" s="0" t="n">
        <v>75</v>
      </c>
    </row>
    <row r="582" customFormat="false" ht="15" hidden="false" customHeight="false" outlineLevel="0" collapsed="false">
      <c r="A582" s="0" t="s">
        <v>612</v>
      </c>
      <c r="B582" s="2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0" t="n">
        <v>1</v>
      </c>
      <c r="I582" s="0" t="n">
        <v>1</v>
      </c>
      <c r="J582" s="0" t="n">
        <v>1</v>
      </c>
      <c r="K582" s="0" t="n">
        <v>0</v>
      </c>
      <c r="L582" s="0" t="n">
        <v>0</v>
      </c>
      <c r="M582" s="0" t="n">
        <v>3</v>
      </c>
      <c r="N582" s="0" t="n">
        <v>0</v>
      </c>
      <c r="P582" s="0" t="n">
        <v>50.2</v>
      </c>
    </row>
    <row r="583" customFormat="false" ht="15" hidden="false" customHeight="false" outlineLevel="0" collapsed="false">
      <c r="A583" s="0" t="s">
        <v>613</v>
      </c>
      <c r="B583" s="2" t="n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0" t="n">
        <v>1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P583" s="0" t="n">
        <v>40.1</v>
      </c>
    </row>
    <row r="584" customFormat="false" ht="15" hidden="false" customHeight="false" outlineLevel="0" collapsed="false">
      <c r="A584" s="0" t="s">
        <v>614</v>
      </c>
      <c r="B584" s="2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P584" s="0" t="n">
        <v>61.1</v>
      </c>
    </row>
    <row r="585" customFormat="false" ht="15" hidden="false" customHeight="false" outlineLevel="0" collapsed="false">
      <c r="A585" s="0" t="s">
        <v>615</v>
      </c>
      <c r="B585" s="2" t="n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P585" s="0" t="n">
        <v>42.4</v>
      </c>
    </row>
    <row r="586" customFormat="false" ht="15" hidden="false" customHeight="false" outlineLevel="0" collapsed="false">
      <c r="A586" s="0" t="s">
        <v>616</v>
      </c>
      <c r="B586" s="2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0</v>
      </c>
      <c r="P586" s="0" t="n">
        <v>46.6</v>
      </c>
    </row>
    <row r="587" customFormat="false" ht="15" hidden="false" customHeight="false" outlineLevel="0" collapsed="false">
      <c r="A587" s="0" t="s">
        <v>617</v>
      </c>
      <c r="B587" s="2" t="n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0" t="n">
        <v>1</v>
      </c>
      <c r="I587" s="0" t="n">
        <v>1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P587" s="0" t="n">
        <v>72.1</v>
      </c>
    </row>
    <row r="588" customFormat="false" ht="15" hidden="false" customHeight="false" outlineLevel="0" collapsed="false">
      <c r="A588" s="0" t="s">
        <v>618</v>
      </c>
      <c r="B588" s="2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P588" s="0" t="n">
        <v>21.5</v>
      </c>
    </row>
    <row r="589" customFormat="false" ht="15" hidden="false" customHeight="false" outlineLevel="0" collapsed="false">
      <c r="A589" s="0" t="s">
        <v>619</v>
      </c>
      <c r="B589" s="2" t="n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0" t="n">
        <v>1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0</v>
      </c>
      <c r="P589" s="0" t="n">
        <v>65.4</v>
      </c>
    </row>
    <row r="590" customFormat="false" ht="15" hidden="false" customHeight="false" outlineLevel="0" collapsed="false">
      <c r="A590" s="0" t="s">
        <v>620</v>
      </c>
      <c r="B590" s="2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0" t="n">
        <v>1</v>
      </c>
      <c r="I590" s="0" t="n">
        <v>1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P590" s="0" t="n">
        <v>53.3</v>
      </c>
    </row>
    <row r="591" customFormat="false" ht="15" hidden="false" customHeight="false" outlineLevel="0" collapsed="false">
      <c r="A591" s="0" t="s">
        <v>621</v>
      </c>
      <c r="B591" s="2" t="n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2</v>
      </c>
      <c r="N591" s="0" t="n">
        <v>0</v>
      </c>
      <c r="P591" s="0" t="n">
        <v>52.3</v>
      </c>
    </row>
    <row r="592" customFormat="false" ht="15" hidden="false" customHeight="false" outlineLevel="0" collapsed="false">
      <c r="A592" s="0" t="s">
        <v>622</v>
      </c>
      <c r="B592" s="2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0" t="n">
        <v>1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P592" s="0" t="n">
        <v>62.5</v>
      </c>
    </row>
    <row r="593" customFormat="false" ht="15" hidden="false" customHeight="false" outlineLevel="0" collapsed="false">
      <c r="A593" s="0" t="s">
        <v>623</v>
      </c>
      <c r="B593" s="2" t="n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0" t="n">
        <v>1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P593" s="0" t="n">
        <v>69.8</v>
      </c>
    </row>
    <row r="594" customFormat="false" ht="15" hidden="false" customHeight="false" outlineLevel="0" collapsed="false">
      <c r="A594" s="0" t="s">
        <v>624</v>
      </c>
      <c r="B594" s="2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0" t="n">
        <v>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P594" s="0" t="n">
        <v>68.2</v>
      </c>
    </row>
    <row r="595" customFormat="false" ht="15" hidden="false" customHeight="false" outlineLevel="0" collapsed="false">
      <c r="A595" s="0" t="s">
        <v>625</v>
      </c>
      <c r="B595" s="2" t="n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0" t="n">
        <v>1</v>
      </c>
      <c r="I595" s="0" t="n">
        <v>1</v>
      </c>
      <c r="J595" s="0" t="n">
        <v>1</v>
      </c>
      <c r="K595" s="0" t="n">
        <v>1</v>
      </c>
      <c r="L595" s="0" t="n">
        <v>751.73</v>
      </c>
      <c r="M595" s="0" t="n">
        <v>0</v>
      </c>
      <c r="N595" s="0" t="n">
        <v>0</v>
      </c>
      <c r="O595" s="0" t="n">
        <v>6</v>
      </c>
      <c r="P595" s="0" t="n">
        <v>35.2</v>
      </c>
    </row>
    <row r="596" customFormat="false" ht="15" hidden="false" customHeight="false" outlineLevel="0" collapsed="false">
      <c r="A596" s="0" t="s">
        <v>626</v>
      </c>
      <c r="B596" s="2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P596" s="0" t="n">
        <v>59.3</v>
      </c>
    </row>
    <row r="597" customFormat="false" ht="15" hidden="false" customHeight="false" outlineLevel="0" collapsed="false">
      <c r="A597" s="0" t="s">
        <v>627</v>
      </c>
      <c r="B597" s="2" t="n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P597" s="0" t="n">
        <v>68.1</v>
      </c>
    </row>
    <row r="598" customFormat="false" ht="15" hidden="false" customHeight="false" outlineLevel="0" collapsed="false">
      <c r="A598" s="0" t="s">
        <v>628</v>
      </c>
      <c r="B598" s="2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0" t="n">
        <v>1</v>
      </c>
      <c r="I598" s="0" t="n">
        <v>1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P598" s="0" t="n">
        <v>74.8</v>
      </c>
    </row>
    <row r="599" customFormat="false" ht="15" hidden="false" customHeight="false" outlineLevel="0" collapsed="false">
      <c r="A599" s="0" t="s">
        <v>629</v>
      </c>
      <c r="B599" s="2" t="n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0" t="n">
        <v>1</v>
      </c>
      <c r="I599" s="0" t="n">
        <v>1</v>
      </c>
      <c r="J599" s="0" t="n">
        <v>1</v>
      </c>
      <c r="K599" s="0" t="n">
        <v>0</v>
      </c>
      <c r="L599" s="0" t="n">
        <v>0</v>
      </c>
      <c r="M599" s="0" t="n">
        <v>0</v>
      </c>
      <c r="N599" s="0" t="n">
        <v>0</v>
      </c>
      <c r="P599" s="0" t="n">
        <v>61.7</v>
      </c>
    </row>
    <row r="600" customFormat="false" ht="15" hidden="false" customHeight="false" outlineLevel="0" collapsed="false">
      <c r="A600" s="0" t="s">
        <v>630</v>
      </c>
      <c r="B600" s="2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0" t="n">
        <v>1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P600" s="0" t="n">
        <v>24.3</v>
      </c>
    </row>
    <row r="601" customFormat="false" ht="15" hidden="false" customHeight="false" outlineLevel="0" collapsed="false">
      <c r="A601" s="0" t="s">
        <v>631</v>
      </c>
      <c r="B601" s="2" t="n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0</v>
      </c>
      <c r="P601" s="0" t="n">
        <v>61.9</v>
      </c>
    </row>
    <row r="602" customFormat="false" ht="15" hidden="false" customHeight="false" outlineLevel="0" collapsed="false">
      <c r="A602" s="0" t="s">
        <v>632</v>
      </c>
      <c r="B602" s="2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2</v>
      </c>
      <c r="N602" s="0" t="n">
        <v>0</v>
      </c>
      <c r="P602" s="0" t="n">
        <v>41.7</v>
      </c>
    </row>
    <row r="603" customFormat="false" ht="15" hidden="false" customHeight="false" outlineLevel="0" collapsed="false">
      <c r="A603" s="0" t="s">
        <v>633</v>
      </c>
      <c r="B603" s="2" t="n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0" t="n">
        <v>1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P603" s="0" t="n">
        <v>87.6</v>
      </c>
    </row>
    <row r="604" customFormat="false" ht="15" hidden="false" customHeight="false" outlineLevel="0" collapsed="false">
      <c r="A604" s="0" t="s">
        <v>634</v>
      </c>
      <c r="B604" s="2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0" t="n">
        <v>1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P604" s="0" t="n">
        <v>30.8</v>
      </c>
    </row>
    <row r="605" customFormat="false" ht="15" hidden="false" customHeight="false" outlineLevel="0" collapsed="false">
      <c r="A605" s="0" t="s">
        <v>635</v>
      </c>
      <c r="B605" s="2" t="n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P605" s="0" t="n">
        <v>54</v>
      </c>
    </row>
    <row r="606" customFormat="false" ht="15" hidden="false" customHeight="false" outlineLevel="0" collapsed="false">
      <c r="A606" s="0" t="s">
        <v>636</v>
      </c>
      <c r="B606" s="2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0" t="n">
        <v>1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0</v>
      </c>
      <c r="P606" s="0" t="n">
        <v>54.5</v>
      </c>
    </row>
    <row r="607" customFormat="false" ht="15" hidden="false" customHeight="false" outlineLevel="0" collapsed="false">
      <c r="A607" s="0" t="s">
        <v>637</v>
      </c>
      <c r="B607" s="2" t="n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0" t="n">
        <v>1</v>
      </c>
      <c r="I607" s="0" t="n">
        <v>1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P607" s="0" t="n">
        <v>61.3</v>
      </c>
    </row>
    <row r="608" customFormat="false" ht="15" hidden="false" customHeight="false" outlineLevel="0" collapsed="false">
      <c r="A608" s="0" t="s">
        <v>638</v>
      </c>
      <c r="B608" s="2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0" t="n">
        <v>1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P608" s="0" t="n">
        <v>62.7</v>
      </c>
    </row>
    <row r="609" customFormat="false" ht="15" hidden="false" customHeight="false" outlineLevel="0" collapsed="false">
      <c r="A609" s="0" t="s">
        <v>639</v>
      </c>
      <c r="B609" s="2" t="n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0" t="n">
        <v>1</v>
      </c>
      <c r="I609" s="0" t="n">
        <v>1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P609" s="0" t="n">
        <v>43.1</v>
      </c>
    </row>
    <row r="610" customFormat="false" ht="15" hidden="false" customHeight="false" outlineLevel="0" collapsed="false">
      <c r="A610" s="0" t="s">
        <v>640</v>
      </c>
      <c r="B610" s="2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P610" s="0" t="n">
        <v>59.9</v>
      </c>
    </row>
    <row r="611" customFormat="false" ht="15" hidden="false" customHeight="false" outlineLevel="0" collapsed="false">
      <c r="A611" s="0" t="s">
        <v>641</v>
      </c>
      <c r="B611" s="2" t="n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0" t="n">
        <v>1</v>
      </c>
      <c r="I611" s="0" t="n">
        <v>1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0</v>
      </c>
      <c r="P611" s="0" t="n">
        <v>55.7</v>
      </c>
    </row>
    <row r="612" customFormat="false" ht="15" hidden="false" customHeight="false" outlineLevel="0" collapsed="false">
      <c r="A612" s="0" t="s">
        <v>642</v>
      </c>
      <c r="B612" s="2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0" t="n">
        <v>1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P612" s="0" t="n">
        <v>37.1</v>
      </c>
    </row>
    <row r="613" customFormat="false" ht="15" hidden="false" customHeight="false" outlineLevel="0" collapsed="false">
      <c r="A613" s="0" t="s">
        <v>643</v>
      </c>
      <c r="B613" s="2" t="n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0</v>
      </c>
      <c r="P613" s="0" t="n">
        <v>46.7</v>
      </c>
    </row>
    <row r="614" customFormat="false" ht="15" hidden="false" customHeight="false" outlineLevel="0" collapsed="false">
      <c r="A614" s="0" t="s">
        <v>644</v>
      </c>
      <c r="B614" s="2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0" t="n">
        <v>1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P614" s="0" t="n">
        <v>54.1</v>
      </c>
    </row>
    <row r="615" customFormat="false" ht="15" hidden="false" customHeight="false" outlineLevel="0" collapsed="false">
      <c r="A615" s="0" t="s">
        <v>645</v>
      </c>
      <c r="B615" s="2" t="n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0" t="n">
        <v>1</v>
      </c>
      <c r="I615" s="0" t="n">
        <v>1</v>
      </c>
      <c r="J615" s="0" t="n">
        <v>1</v>
      </c>
      <c r="K615" s="0" t="n">
        <v>0</v>
      </c>
      <c r="L615" s="0" t="n">
        <v>0</v>
      </c>
      <c r="M615" s="0" t="n">
        <v>0</v>
      </c>
      <c r="N615" s="0" t="n">
        <v>0</v>
      </c>
      <c r="P615" s="0" t="n">
        <v>56.1</v>
      </c>
    </row>
    <row r="616" customFormat="false" ht="15" hidden="false" customHeight="false" outlineLevel="0" collapsed="false">
      <c r="A616" s="0" t="s">
        <v>646</v>
      </c>
      <c r="B616" s="2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P616" s="0" t="n">
        <v>23.6</v>
      </c>
    </row>
    <row r="617" customFormat="false" ht="15" hidden="false" customHeight="false" outlineLevel="0" collapsed="false">
      <c r="A617" s="0" t="s">
        <v>647</v>
      </c>
      <c r="B617" s="2" t="n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P617" s="0" t="n">
        <v>54.7</v>
      </c>
    </row>
    <row r="618" customFormat="false" ht="15" hidden="false" customHeight="false" outlineLevel="0" collapsed="false">
      <c r="A618" s="0" t="s">
        <v>648</v>
      </c>
      <c r="B618" s="2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2</v>
      </c>
      <c r="N618" s="0" t="n">
        <v>0</v>
      </c>
      <c r="P618" s="0" t="n">
        <v>50.4</v>
      </c>
    </row>
    <row r="619" customFormat="false" ht="15" hidden="false" customHeight="false" outlineLevel="0" collapsed="false">
      <c r="A619" s="0" t="s">
        <v>649</v>
      </c>
      <c r="B619" s="2" t="n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0" t="n">
        <v>1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P619" s="0" t="n">
        <v>54.5</v>
      </c>
    </row>
    <row r="620" customFormat="false" ht="15" hidden="false" customHeight="false" outlineLevel="0" collapsed="false">
      <c r="A620" s="0" t="s">
        <v>650</v>
      </c>
      <c r="B620" s="2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P620" s="0" t="n">
        <v>58</v>
      </c>
    </row>
    <row r="621" customFormat="false" ht="15" hidden="false" customHeight="false" outlineLevel="0" collapsed="false">
      <c r="A621" s="0" t="s">
        <v>651</v>
      </c>
      <c r="B621" s="2" t="n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P621" s="0" t="n">
        <v>42.9</v>
      </c>
    </row>
    <row r="622" customFormat="false" ht="15" hidden="false" customHeight="false" outlineLevel="0" collapsed="false">
      <c r="A622" s="0" t="s">
        <v>652</v>
      </c>
      <c r="B622" s="2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0" t="n">
        <v>1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P622" s="0" t="n">
        <v>51.1</v>
      </c>
    </row>
    <row r="623" customFormat="false" ht="15" hidden="false" customHeight="false" outlineLevel="0" collapsed="false">
      <c r="A623" s="0" t="s">
        <v>653</v>
      </c>
      <c r="B623" s="2" t="n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0" t="n">
        <v>1</v>
      </c>
      <c r="I623" s="0" t="n">
        <v>1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P623" s="0" t="n">
        <v>51.8</v>
      </c>
    </row>
    <row r="624" customFormat="false" ht="15" hidden="false" customHeight="false" outlineLevel="0" collapsed="false">
      <c r="A624" s="0" t="s">
        <v>654</v>
      </c>
      <c r="B624" s="2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P624" s="0" t="n">
        <v>67.7</v>
      </c>
    </row>
    <row r="625" customFormat="false" ht="15" hidden="false" customHeight="false" outlineLevel="0" collapsed="false">
      <c r="A625" s="0" t="s">
        <v>655</v>
      </c>
      <c r="B625" s="2" t="n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P625" s="0" t="n">
        <v>75.8</v>
      </c>
    </row>
    <row r="626" customFormat="false" ht="15" hidden="false" customHeight="false" outlineLevel="0" collapsed="false">
      <c r="A626" s="0" t="s">
        <v>656</v>
      </c>
      <c r="B626" s="2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0" t="n">
        <v>1</v>
      </c>
      <c r="I626" s="0" t="n">
        <v>1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P626" s="0" t="n">
        <v>72.8</v>
      </c>
    </row>
    <row r="627" customFormat="false" ht="15" hidden="false" customHeight="false" outlineLevel="0" collapsed="false">
      <c r="A627" s="0" t="s">
        <v>657</v>
      </c>
      <c r="B627" s="2" t="n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0" t="n">
        <v>1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P627" s="0" t="n">
        <v>54.4</v>
      </c>
    </row>
    <row r="628" customFormat="false" ht="15" hidden="false" customHeight="false" outlineLevel="0" collapsed="false">
      <c r="A628" s="0" t="s">
        <v>658</v>
      </c>
      <c r="B628" s="2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0" t="n">
        <v>1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P628" s="0" t="n">
        <v>51.8</v>
      </c>
    </row>
    <row r="629" customFormat="false" ht="15" hidden="false" customHeight="false" outlineLevel="0" collapsed="false">
      <c r="A629" s="0" t="s">
        <v>659</v>
      </c>
      <c r="B629" s="2" t="n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P629" s="0" t="n">
        <v>40.3</v>
      </c>
    </row>
    <row r="630" customFormat="false" ht="15" hidden="false" customHeight="false" outlineLevel="0" collapsed="false">
      <c r="A630" s="0" t="s">
        <v>660</v>
      </c>
      <c r="B630" s="2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0" t="n">
        <v>1</v>
      </c>
      <c r="I630" s="0" t="n">
        <v>1</v>
      </c>
      <c r="J630" s="0" t="n">
        <v>1</v>
      </c>
      <c r="K630" s="0" t="n">
        <v>0</v>
      </c>
      <c r="L630" s="0" t="n">
        <v>0</v>
      </c>
      <c r="M630" s="0" t="n">
        <v>0</v>
      </c>
      <c r="N630" s="0" t="n">
        <v>0</v>
      </c>
      <c r="P630" s="0" t="n">
        <v>61.7</v>
      </c>
    </row>
    <row r="631" customFormat="false" ht="15" hidden="false" customHeight="false" outlineLevel="0" collapsed="false">
      <c r="A631" s="0" t="s">
        <v>661</v>
      </c>
      <c r="B631" s="2" t="n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P631" s="0" t="n">
        <v>45</v>
      </c>
    </row>
    <row r="632" customFormat="false" ht="15" hidden="false" customHeight="false" outlineLevel="0" collapsed="false">
      <c r="A632" s="0" t="s">
        <v>662</v>
      </c>
      <c r="B632" s="2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0" t="n">
        <v>1</v>
      </c>
      <c r="I632" s="0" t="n">
        <v>1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P632" s="0" t="n">
        <v>60</v>
      </c>
    </row>
    <row r="633" customFormat="false" ht="15" hidden="false" customHeight="false" outlineLevel="0" collapsed="false">
      <c r="A633" s="0" t="s">
        <v>663</v>
      </c>
      <c r="B633" s="2" t="n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0" t="n">
        <v>1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 customFormat="false" ht="15" hidden="false" customHeight="false" outlineLevel="0" collapsed="false">
      <c r="A634" s="0" t="s">
        <v>664</v>
      </c>
      <c r="B634" s="2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0" t="n">
        <v>1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P634" s="0" t="n">
        <v>55.5</v>
      </c>
    </row>
    <row r="635" customFormat="false" ht="15" hidden="false" customHeight="false" outlineLevel="0" collapsed="false">
      <c r="A635" s="0" t="s">
        <v>665</v>
      </c>
      <c r="B635" s="2" t="n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P635" s="0" t="n">
        <v>51.8</v>
      </c>
    </row>
    <row r="636" customFormat="false" ht="15" hidden="false" customHeight="false" outlineLevel="0" collapsed="false">
      <c r="A636" s="0" t="s">
        <v>666</v>
      </c>
      <c r="B636" s="2" t="n">
        <v>45803</v>
      </c>
      <c r="C636" s="3" t="s">
        <v>17</v>
      </c>
      <c r="D636" s="3" t="s">
        <v>28</v>
      </c>
      <c r="E636" s="3" t="s">
        <v>24</v>
      </c>
      <c r="G636" s="3" t="s">
        <v>30</v>
      </c>
      <c r="H636" s="0" t="n">
        <v>1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3</v>
      </c>
      <c r="N636" s="0" t="n">
        <v>0</v>
      </c>
      <c r="P636" s="0" t="n">
        <v>56</v>
      </c>
    </row>
    <row r="637" customFormat="false" ht="15" hidden="false" customHeight="false" outlineLevel="0" collapsed="false">
      <c r="A637" s="0" t="s">
        <v>667</v>
      </c>
      <c r="B637" s="2" t="n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P637" s="0" t="n">
        <v>52.5</v>
      </c>
    </row>
    <row r="638" customFormat="false" ht="15" hidden="false" customHeight="false" outlineLevel="0" collapsed="false">
      <c r="A638" s="0" t="s">
        <v>668</v>
      </c>
      <c r="B638" s="2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0" t="n">
        <v>1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P638" s="0" t="n">
        <v>42.5</v>
      </c>
    </row>
    <row r="639" customFormat="false" ht="15" hidden="false" customHeight="false" outlineLevel="0" collapsed="false">
      <c r="A639" s="0" t="s">
        <v>669</v>
      </c>
      <c r="B639" s="2" t="n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0" t="n">
        <v>1</v>
      </c>
      <c r="I639" s="0" t="n">
        <v>1</v>
      </c>
      <c r="J639" s="0" t="n">
        <v>1</v>
      </c>
      <c r="K639" s="0" t="n">
        <v>0</v>
      </c>
      <c r="L639" s="0" t="n">
        <v>0</v>
      </c>
      <c r="M639" s="0" t="n">
        <v>0</v>
      </c>
      <c r="N639" s="0" t="n">
        <v>0</v>
      </c>
      <c r="P639" s="0" t="n">
        <v>65.3</v>
      </c>
    </row>
    <row r="640" customFormat="false" ht="15" hidden="false" customHeight="false" outlineLevel="0" collapsed="false">
      <c r="A640" s="0" t="s">
        <v>670</v>
      </c>
      <c r="B640" s="2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P640" s="0" t="n">
        <v>37.6</v>
      </c>
    </row>
    <row r="641" customFormat="false" ht="15" hidden="false" customHeight="false" outlineLevel="0" collapsed="false">
      <c r="A641" s="0" t="s">
        <v>671</v>
      </c>
      <c r="B641" s="2" t="n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P641" s="0" t="n">
        <v>57.8</v>
      </c>
    </row>
    <row r="642" customFormat="false" ht="15" hidden="false" customHeight="false" outlineLevel="0" collapsed="false">
      <c r="A642" s="0" t="s">
        <v>672</v>
      </c>
      <c r="B642" s="2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0" t="n">
        <v>1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P642" s="0" t="n">
        <v>52.7</v>
      </c>
    </row>
    <row r="643" customFormat="false" ht="15" hidden="false" customHeight="false" outlineLevel="0" collapsed="false">
      <c r="A643" s="0" t="s">
        <v>673</v>
      </c>
      <c r="B643" s="2" t="n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P643" s="0" t="n">
        <v>51.7</v>
      </c>
    </row>
    <row r="644" customFormat="false" ht="15" hidden="false" customHeight="false" outlineLevel="0" collapsed="false">
      <c r="A644" s="0" t="s">
        <v>674</v>
      </c>
      <c r="B644" s="2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P644" s="0" t="n">
        <v>57</v>
      </c>
    </row>
    <row r="645" customFormat="false" ht="15" hidden="false" customHeight="false" outlineLevel="0" collapsed="false">
      <c r="A645" s="0" t="s">
        <v>675</v>
      </c>
      <c r="B645" s="2" t="n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P645" s="0" t="n">
        <v>39.5</v>
      </c>
    </row>
    <row r="646" customFormat="false" ht="15" hidden="false" customHeight="false" outlineLevel="0" collapsed="false">
      <c r="A646" s="0" t="s">
        <v>676</v>
      </c>
      <c r="B646" s="2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0" t="n">
        <v>1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P646" s="0" t="n">
        <v>76.5</v>
      </c>
    </row>
    <row r="647" customFormat="false" ht="15" hidden="false" customHeight="false" outlineLevel="0" collapsed="false">
      <c r="A647" s="0" t="s">
        <v>677</v>
      </c>
      <c r="B647" s="2" t="n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0" t="n">
        <v>1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P647" s="0" t="n">
        <v>32.4</v>
      </c>
    </row>
    <row r="648" customFormat="false" ht="15" hidden="false" customHeight="false" outlineLevel="0" collapsed="false">
      <c r="A648" s="0" t="s">
        <v>678</v>
      </c>
      <c r="B648" s="2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P648" s="0" t="n">
        <v>58.6</v>
      </c>
    </row>
    <row r="649" customFormat="false" ht="15" hidden="false" customHeight="false" outlineLevel="0" collapsed="false">
      <c r="A649" s="0" t="s">
        <v>679</v>
      </c>
      <c r="B649" s="2" t="n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0" t="n">
        <v>1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P649" s="0" t="n">
        <v>78.6</v>
      </c>
    </row>
    <row r="650" customFormat="false" ht="15" hidden="false" customHeight="false" outlineLevel="0" collapsed="false">
      <c r="A650" s="0" t="s">
        <v>680</v>
      </c>
      <c r="B650" s="2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P650" s="0" t="n">
        <v>54.5</v>
      </c>
    </row>
    <row r="651" customFormat="false" ht="15" hidden="false" customHeight="false" outlineLevel="0" collapsed="false">
      <c r="A651" s="0" t="s">
        <v>681</v>
      </c>
      <c r="B651" s="2" t="n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P651" s="0" t="n">
        <v>57.6</v>
      </c>
    </row>
    <row r="652" customFormat="false" ht="15" hidden="false" customHeight="false" outlineLevel="0" collapsed="false">
      <c r="A652" s="0" t="s">
        <v>682</v>
      </c>
      <c r="B652" s="2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P652" s="0" t="n">
        <v>52.8</v>
      </c>
    </row>
    <row r="653" customFormat="false" ht="15" hidden="false" customHeight="false" outlineLevel="0" collapsed="false">
      <c r="A653" s="0" t="s">
        <v>683</v>
      </c>
      <c r="B653" s="2" t="n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0" t="n">
        <v>1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P653" s="0" t="n">
        <v>52.9</v>
      </c>
    </row>
    <row r="654" customFormat="false" ht="15" hidden="false" customHeight="false" outlineLevel="0" collapsed="false">
      <c r="A654" s="0" t="s">
        <v>684</v>
      </c>
      <c r="B654" s="2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0" t="n">
        <v>1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0</v>
      </c>
      <c r="P654" s="0" t="n">
        <v>55.9</v>
      </c>
    </row>
    <row r="655" customFormat="false" ht="15" hidden="false" customHeight="false" outlineLevel="0" collapsed="false">
      <c r="A655" s="0" t="s">
        <v>685</v>
      </c>
      <c r="B655" s="2" t="n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0" t="n">
        <v>1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P655" s="0" t="n">
        <v>74.2</v>
      </c>
    </row>
    <row r="656" customFormat="false" ht="15" hidden="false" customHeight="false" outlineLevel="0" collapsed="false">
      <c r="A656" s="0" t="s">
        <v>686</v>
      </c>
      <c r="B656" s="2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P656" s="0" t="n">
        <v>46.3</v>
      </c>
    </row>
    <row r="657" customFormat="false" ht="15" hidden="false" customHeight="false" outlineLevel="0" collapsed="false">
      <c r="A657" s="0" t="s">
        <v>687</v>
      </c>
      <c r="B657" s="2" t="n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0" t="n">
        <v>1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P657" s="0" t="n">
        <v>62</v>
      </c>
    </row>
    <row r="658" customFormat="false" ht="15" hidden="false" customHeight="false" outlineLevel="0" collapsed="false">
      <c r="A658" s="0" t="s">
        <v>688</v>
      </c>
      <c r="B658" s="2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P658" s="0" t="n">
        <v>55.6</v>
      </c>
    </row>
    <row r="659" customFormat="false" ht="15" hidden="false" customHeight="false" outlineLevel="0" collapsed="false">
      <c r="A659" s="0" t="s">
        <v>689</v>
      </c>
      <c r="B659" s="2" t="n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0" t="n">
        <v>1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P659" s="0" t="n">
        <v>62.8</v>
      </c>
    </row>
    <row r="660" customFormat="false" ht="15" hidden="false" customHeight="false" outlineLevel="0" collapsed="false">
      <c r="A660" s="0" t="s">
        <v>690</v>
      </c>
      <c r="B660" s="2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P660" s="0" t="n">
        <v>73.1</v>
      </c>
    </row>
    <row r="661" customFormat="false" ht="15" hidden="false" customHeight="false" outlineLevel="0" collapsed="false">
      <c r="A661" s="0" t="s">
        <v>691</v>
      </c>
      <c r="B661" s="2" t="n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0" t="n">
        <v>1</v>
      </c>
      <c r="I661" s="0" t="n">
        <v>1</v>
      </c>
      <c r="J661" s="0" t="n">
        <v>1</v>
      </c>
      <c r="K661" s="0" t="n">
        <v>1</v>
      </c>
      <c r="L661" s="0" t="n">
        <v>347.52</v>
      </c>
      <c r="M661" s="0" t="n">
        <v>0</v>
      </c>
      <c r="N661" s="0" t="n">
        <v>0</v>
      </c>
      <c r="O661" s="0" t="n">
        <v>2</v>
      </c>
      <c r="P661" s="0" t="n">
        <v>57.2</v>
      </c>
    </row>
    <row r="662" customFormat="false" ht="15" hidden="false" customHeight="false" outlineLevel="0" collapsed="false">
      <c r="A662" s="0" t="s">
        <v>692</v>
      </c>
      <c r="B662" s="2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0" t="n">
        <v>1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P662" s="0" t="n">
        <v>67.9</v>
      </c>
    </row>
    <row r="663" customFormat="false" ht="15" hidden="false" customHeight="false" outlineLevel="0" collapsed="false">
      <c r="A663" s="0" t="s">
        <v>693</v>
      </c>
      <c r="B663" s="2" t="n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P663" s="0" t="n">
        <v>50.1</v>
      </c>
    </row>
    <row r="664" customFormat="false" ht="15" hidden="false" customHeight="false" outlineLevel="0" collapsed="false">
      <c r="A664" s="0" t="s">
        <v>694</v>
      </c>
      <c r="B664" s="2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P664" s="0" t="n">
        <v>67.8</v>
      </c>
    </row>
    <row r="665" customFormat="false" ht="15" hidden="false" customHeight="false" outlineLevel="0" collapsed="false">
      <c r="A665" s="0" t="s">
        <v>695</v>
      </c>
      <c r="B665" s="2" t="n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0" t="n">
        <v>1</v>
      </c>
      <c r="I665" s="0" t="n">
        <v>1</v>
      </c>
      <c r="J665" s="0" t="n">
        <v>1</v>
      </c>
      <c r="K665" s="0" t="n">
        <v>0</v>
      </c>
      <c r="L665" s="0" t="n">
        <v>0</v>
      </c>
      <c r="M665" s="0" t="n">
        <v>0</v>
      </c>
      <c r="N665" s="0" t="n">
        <v>0</v>
      </c>
      <c r="P665" s="0" t="n">
        <v>60.8</v>
      </c>
    </row>
    <row r="666" customFormat="false" ht="15" hidden="false" customHeight="false" outlineLevel="0" collapsed="false">
      <c r="A666" s="0" t="s">
        <v>696</v>
      </c>
      <c r="B666" s="2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0" t="n">
        <v>1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3</v>
      </c>
      <c r="N666" s="0" t="n">
        <v>0</v>
      </c>
      <c r="P666" s="0" t="n">
        <v>33.7</v>
      </c>
    </row>
    <row r="667" customFormat="false" ht="15" hidden="false" customHeight="false" outlineLevel="0" collapsed="false">
      <c r="A667" s="0" t="s">
        <v>697</v>
      </c>
      <c r="B667" s="2" t="n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P667" s="0" t="n">
        <v>45.2</v>
      </c>
    </row>
    <row r="668" customFormat="false" ht="15" hidden="false" customHeight="false" outlineLevel="0" collapsed="false">
      <c r="A668" s="0" t="s">
        <v>698</v>
      </c>
      <c r="B668" s="2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P668" s="0" t="n">
        <v>48.2</v>
      </c>
    </row>
    <row r="669" customFormat="false" ht="15" hidden="false" customHeight="false" outlineLevel="0" collapsed="false">
      <c r="A669" s="0" t="s">
        <v>699</v>
      </c>
      <c r="B669" s="2" t="n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0" t="n">
        <v>1</v>
      </c>
      <c r="I669" s="0" t="n">
        <v>1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0</v>
      </c>
      <c r="P669" s="0" t="n">
        <v>44.8</v>
      </c>
    </row>
    <row r="670" customFormat="false" ht="15" hidden="false" customHeight="false" outlineLevel="0" collapsed="false">
      <c r="A670" s="0" t="s">
        <v>700</v>
      </c>
      <c r="B670" s="2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P670" s="0" t="n">
        <v>52.1</v>
      </c>
    </row>
    <row r="671" customFormat="false" ht="15" hidden="false" customHeight="false" outlineLevel="0" collapsed="false">
      <c r="A671" s="0" t="s">
        <v>701</v>
      </c>
      <c r="B671" s="2" t="n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0" t="n">
        <v>1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P671" s="0" t="n">
        <v>30.7</v>
      </c>
    </row>
    <row r="672" customFormat="false" ht="15" hidden="false" customHeight="false" outlineLevel="0" collapsed="false">
      <c r="A672" s="0" t="s">
        <v>702</v>
      </c>
      <c r="B672" s="2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0" t="n">
        <v>1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P672" s="0" t="n">
        <v>58.4</v>
      </c>
    </row>
    <row r="673" customFormat="false" ht="15" hidden="false" customHeight="false" outlineLevel="0" collapsed="false">
      <c r="A673" s="0" t="s">
        <v>703</v>
      </c>
      <c r="B673" s="2" t="n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0" t="n">
        <v>1</v>
      </c>
      <c r="I673" s="0" t="n">
        <v>1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P673" s="0" t="n">
        <v>52.6</v>
      </c>
    </row>
    <row r="674" customFormat="false" ht="15" hidden="false" customHeight="false" outlineLevel="0" collapsed="false">
      <c r="A674" s="0" t="s">
        <v>704</v>
      </c>
      <c r="B674" s="2" t="n">
        <v>45667</v>
      </c>
      <c r="C674" s="3" t="s">
        <v>17</v>
      </c>
      <c r="D674" s="3" t="s">
        <v>23</v>
      </c>
      <c r="F674" s="3" t="s">
        <v>29</v>
      </c>
      <c r="G674" s="3" t="s">
        <v>26</v>
      </c>
      <c r="H674" s="0" t="n">
        <v>1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0</v>
      </c>
      <c r="P674" s="0" t="n">
        <v>19.1</v>
      </c>
    </row>
    <row r="675" customFormat="false" ht="15" hidden="false" customHeight="false" outlineLevel="0" collapsed="false">
      <c r="A675" s="0" t="s">
        <v>705</v>
      </c>
      <c r="B675" s="2" t="n">
        <v>45737</v>
      </c>
      <c r="C675" s="3" t="s">
        <v>17</v>
      </c>
      <c r="D675" s="3" t="s">
        <v>32</v>
      </c>
      <c r="F675" s="3" t="s">
        <v>29</v>
      </c>
      <c r="G675" s="3" t="s">
        <v>26</v>
      </c>
      <c r="H675" s="0" t="n">
        <v>1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P675" s="0" t="n">
        <v>36.8</v>
      </c>
    </row>
    <row r="676" customFormat="false" ht="15" hidden="false" customHeight="false" outlineLevel="0" collapsed="false">
      <c r="A676" s="0" t="s">
        <v>706</v>
      </c>
      <c r="B676" s="2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P676" s="0" t="n">
        <v>68.5</v>
      </c>
    </row>
    <row r="677" customFormat="false" ht="15" hidden="false" customHeight="false" outlineLevel="0" collapsed="false">
      <c r="A677" s="0" t="s">
        <v>707</v>
      </c>
      <c r="B677" s="2" t="n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0" t="n">
        <v>1</v>
      </c>
      <c r="I677" s="0" t="n">
        <v>1</v>
      </c>
      <c r="J677" s="0" t="n">
        <v>1</v>
      </c>
      <c r="K677" s="0" t="n">
        <v>0</v>
      </c>
      <c r="L677" s="0" t="n">
        <v>0</v>
      </c>
      <c r="M677" s="0" t="n">
        <v>0</v>
      </c>
      <c r="N677" s="0" t="n">
        <v>0</v>
      </c>
      <c r="P677" s="0" t="n">
        <v>40.1</v>
      </c>
    </row>
    <row r="678" customFormat="false" ht="15" hidden="false" customHeight="false" outlineLevel="0" collapsed="false">
      <c r="A678" s="0" t="s">
        <v>708</v>
      </c>
      <c r="B678" s="2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0" t="n">
        <v>1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P678" s="0" t="n">
        <v>47.5</v>
      </c>
    </row>
    <row r="679" customFormat="false" ht="15" hidden="false" customHeight="false" outlineLevel="0" collapsed="false">
      <c r="A679" s="0" t="s">
        <v>709</v>
      </c>
      <c r="B679" s="2" t="n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0" t="n">
        <v>1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P679" s="0" t="n">
        <v>77.1</v>
      </c>
    </row>
    <row r="680" customFormat="false" ht="15" hidden="false" customHeight="false" outlineLevel="0" collapsed="false">
      <c r="A680" s="0" t="s">
        <v>710</v>
      </c>
      <c r="B680" s="2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0" t="n">
        <v>1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P680" s="0" t="n">
        <v>75.9</v>
      </c>
    </row>
    <row r="681" customFormat="false" ht="15" hidden="false" customHeight="false" outlineLevel="0" collapsed="false">
      <c r="A681" s="0" t="s">
        <v>711</v>
      </c>
      <c r="B681" s="2" t="n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0</v>
      </c>
      <c r="P681" s="0" t="n">
        <v>52</v>
      </c>
    </row>
    <row r="682" customFormat="false" ht="15" hidden="false" customHeight="false" outlineLevel="0" collapsed="false">
      <c r="A682" s="0" t="s">
        <v>712</v>
      </c>
      <c r="B682" s="2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0" t="n">
        <v>1</v>
      </c>
      <c r="I682" s="0" t="n">
        <v>1</v>
      </c>
      <c r="J682" s="0" t="n">
        <v>1</v>
      </c>
      <c r="K682" s="0" t="n">
        <v>0</v>
      </c>
      <c r="L682" s="0" t="n">
        <v>0</v>
      </c>
      <c r="M682" s="0" t="n">
        <v>0</v>
      </c>
      <c r="N682" s="0" t="n">
        <v>0</v>
      </c>
      <c r="P682" s="0" t="n">
        <v>64.9</v>
      </c>
    </row>
    <row r="683" customFormat="false" ht="15" hidden="false" customHeight="false" outlineLevel="0" collapsed="false">
      <c r="A683" s="0" t="s">
        <v>713</v>
      </c>
      <c r="B683" s="2" t="n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0" t="n">
        <v>1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P683" s="0" t="n">
        <v>48.2</v>
      </c>
    </row>
    <row r="684" customFormat="false" ht="15" hidden="false" customHeight="false" outlineLevel="0" collapsed="false">
      <c r="A684" s="0" t="s">
        <v>714</v>
      </c>
      <c r="B684" s="2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P684" s="0" t="n">
        <v>42.1</v>
      </c>
    </row>
    <row r="685" customFormat="false" ht="15" hidden="false" customHeight="false" outlineLevel="0" collapsed="false">
      <c r="A685" s="0" t="s">
        <v>715</v>
      </c>
      <c r="B685" s="2" t="n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P685" s="0" t="n">
        <v>27.6</v>
      </c>
    </row>
    <row r="686" customFormat="false" ht="15" hidden="false" customHeight="false" outlineLevel="0" collapsed="false">
      <c r="A686" s="0" t="s">
        <v>716</v>
      </c>
      <c r="B686" s="2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0" t="n">
        <v>1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0</v>
      </c>
      <c r="P686" s="0" t="n">
        <v>68.5</v>
      </c>
    </row>
    <row r="687" customFormat="false" ht="15" hidden="false" customHeight="false" outlineLevel="0" collapsed="false">
      <c r="A687" s="0" t="s">
        <v>717</v>
      </c>
      <c r="B687" s="2" t="n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0" t="n">
        <v>1</v>
      </c>
      <c r="I687" s="0" t="n">
        <v>1</v>
      </c>
      <c r="J687" s="0" t="n">
        <v>1</v>
      </c>
      <c r="K687" s="0" t="n">
        <v>0</v>
      </c>
      <c r="L687" s="0" t="n">
        <v>0</v>
      </c>
      <c r="M687" s="0" t="n">
        <v>0</v>
      </c>
      <c r="N687" s="0" t="n">
        <v>0</v>
      </c>
      <c r="P687" s="0" t="n">
        <v>59.2</v>
      </c>
    </row>
    <row r="688" customFormat="false" ht="15" hidden="false" customHeight="false" outlineLevel="0" collapsed="false">
      <c r="A688" s="0" t="s">
        <v>718</v>
      </c>
      <c r="B688" s="2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0" t="n">
        <v>1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P688" s="0" t="n">
        <v>63.3</v>
      </c>
    </row>
    <row r="689" customFormat="false" ht="15" hidden="false" customHeight="false" outlineLevel="0" collapsed="false">
      <c r="A689" s="0" t="s">
        <v>719</v>
      </c>
      <c r="B689" s="2" t="n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P689" s="0" t="n">
        <v>55</v>
      </c>
    </row>
    <row r="690" customFormat="false" ht="15" hidden="false" customHeight="false" outlineLevel="0" collapsed="false">
      <c r="A690" s="0" t="s">
        <v>720</v>
      </c>
      <c r="B690" s="2" t="n">
        <v>45804</v>
      </c>
      <c r="C690" s="3" t="s">
        <v>17</v>
      </c>
      <c r="D690" s="3" t="s">
        <v>18</v>
      </c>
      <c r="E690" s="3" t="s">
        <v>19</v>
      </c>
      <c r="G690" s="3" t="s">
        <v>30</v>
      </c>
      <c r="H690" s="0" t="n">
        <v>1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P690" s="0" t="n">
        <v>64.8</v>
      </c>
    </row>
    <row r="691" customFormat="false" ht="15" hidden="false" customHeight="false" outlineLevel="0" collapsed="false">
      <c r="A691" s="0" t="s">
        <v>721</v>
      </c>
      <c r="B691" s="2" t="n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2</v>
      </c>
      <c r="N691" s="0" t="n">
        <v>0</v>
      </c>
      <c r="P691" s="0" t="n">
        <v>41.8</v>
      </c>
    </row>
    <row r="692" customFormat="false" ht="15" hidden="false" customHeight="false" outlineLevel="0" collapsed="false">
      <c r="A692" s="0" t="s">
        <v>722</v>
      </c>
      <c r="B692" s="2" t="n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0" t="n">
        <v>1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P692" s="0" t="n">
        <v>73.2</v>
      </c>
    </row>
    <row r="693" customFormat="false" ht="15" hidden="false" customHeight="false" outlineLevel="0" collapsed="false">
      <c r="A693" s="0" t="s">
        <v>724</v>
      </c>
      <c r="B693" s="2" t="n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0" t="n">
        <v>1</v>
      </c>
      <c r="I693" s="0" t="n">
        <v>1</v>
      </c>
      <c r="J693" s="0" t="n">
        <v>1</v>
      </c>
      <c r="K693" s="0" t="n">
        <v>0</v>
      </c>
      <c r="L693" s="0" t="n">
        <v>0</v>
      </c>
      <c r="M693" s="0" t="n">
        <v>3</v>
      </c>
      <c r="N693" s="0" t="n">
        <v>0</v>
      </c>
      <c r="P693" s="0" t="n">
        <v>55.7</v>
      </c>
    </row>
    <row r="694" customFormat="false" ht="15" hidden="false" customHeight="false" outlineLevel="0" collapsed="false">
      <c r="A694" s="0" t="s">
        <v>725</v>
      </c>
      <c r="B694" s="2" t="n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0" t="n">
        <v>1</v>
      </c>
      <c r="I694" s="0" t="n">
        <v>1</v>
      </c>
      <c r="J694" s="0" t="n">
        <v>1</v>
      </c>
      <c r="K694" s="0" t="n">
        <v>0</v>
      </c>
      <c r="L694" s="0" t="n">
        <v>0</v>
      </c>
      <c r="M694" s="0" t="n">
        <v>0</v>
      </c>
      <c r="N694" s="0" t="n">
        <v>0</v>
      </c>
      <c r="P694" s="0" t="n">
        <v>82.8</v>
      </c>
    </row>
    <row r="695" customFormat="false" ht="15" hidden="false" customHeight="false" outlineLevel="0" collapsed="false">
      <c r="A695" s="0" t="s">
        <v>726</v>
      </c>
      <c r="B695" s="2" t="n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0" t="n">
        <v>1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 customFormat="false" ht="15" hidden="false" customHeight="false" outlineLevel="0" collapsed="false">
      <c r="A696" s="0" t="s">
        <v>727</v>
      </c>
      <c r="B696" s="2" t="n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P696" s="0" t="n">
        <v>34.4</v>
      </c>
    </row>
    <row r="697" customFormat="false" ht="15" hidden="false" customHeight="false" outlineLevel="0" collapsed="false">
      <c r="A697" s="0" t="s">
        <v>728</v>
      </c>
      <c r="B697" s="2" t="n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0" t="n">
        <v>1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P697" s="0" t="n">
        <v>45.2</v>
      </c>
    </row>
    <row r="698" customFormat="false" ht="15" hidden="false" customHeight="false" outlineLevel="0" collapsed="false">
      <c r="A698" s="0" t="s">
        <v>729</v>
      </c>
      <c r="B698" s="2" t="n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0" t="n">
        <v>1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P698" s="0" t="n">
        <v>71.6</v>
      </c>
    </row>
    <row r="699" customFormat="false" ht="15" hidden="false" customHeight="false" outlineLevel="0" collapsed="false">
      <c r="A699" s="0" t="s">
        <v>730</v>
      </c>
      <c r="B699" s="2" t="n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0" t="n">
        <v>1</v>
      </c>
      <c r="I699" s="0" t="n">
        <v>1</v>
      </c>
      <c r="J699" s="0" t="n">
        <v>1</v>
      </c>
      <c r="K699" s="0" t="n">
        <v>0</v>
      </c>
      <c r="L699" s="0" t="n">
        <v>0</v>
      </c>
      <c r="M699" s="0" t="n">
        <v>0</v>
      </c>
      <c r="N699" s="0" t="n">
        <v>0</v>
      </c>
      <c r="P699" s="0" t="n">
        <v>69.1</v>
      </c>
    </row>
    <row r="700" customFormat="false" ht="15" hidden="false" customHeight="false" outlineLevel="0" collapsed="false">
      <c r="A700" s="0" t="s">
        <v>731</v>
      </c>
      <c r="B700" s="2" t="n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0</v>
      </c>
      <c r="P700" s="0" t="n">
        <v>37.7</v>
      </c>
    </row>
    <row r="701" customFormat="false" ht="15" hidden="false" customHeight="false" outlineLevel="0" collapsed="false">
      <c r="A701" s="0" t="s">
        <v>732</v>
      </c>
      <c r="B701" s="2" t="n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0" t="n">
        <v>1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0</v>
      </c>
      <c r="P701" s="0" t="n">
        <v>60.8</v>
      </c>
    </row>
    <row r="702" customFormat="false" ht="15" hidden="false" customHeight="false" outlineLevel="0" collapsed="false">
      <c r="A702" s="0" t="s">
        <v>733</v>
      </c>
      <c r="B702" s="2" t="n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0" t="n">
        <v>1</v>
      </c>
      <c r="I702" s="0" t="n">
        <v>1</v>
      </c>
      <c r="J702" s="0" t="n">
        <v>1</v>
      </c>
      <c r="K702" s="0" t="n">
        <v>1</v>
      </c>
      <c r="L702" s="0" t="n">
        <v>444.13</v>
      </c>
      <c r="M702" s="0" t="n">
        <v>0</v>
      </c>
      <c r="N702" s="0" t="n">
        <v>0</v>
      </c>
      <c r="O702" s="0" t="n">
        <v>10</v>
      </c>
      <c r="P702" s="0" t="n">
        <v>80.7</v>
      </c>
    </row>
    <row r="703" customFormat="false" ht="15" hidden="false" customHeight="false" outlineLevel="0" collapsed="false">
      <c r="A703" s="0" t="s">
        <v>734</v>
      </c>
      <c r="B703" s="2" t="n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0" t="n">
        <v>1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P703" s="0" t="n">
        <v>69.2</v>
      </c>
    </row>
    <row r="704" customFormat="false" ht="15" hidden="false" customHeight="false" outlineLevel="0" collapsed="false">
      <c r="A704" s="0" t="s">
        <v>735</v>
      </c>
      <c r="B704" s="2" t="n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3</v>
      </c>
      <c r="N704" s="0" t="n">
        <v>0</v>
      </c>
      <c r="P704" s="0" t="n">
        <v>55</v>
      </c>
    </row>
    <row r="705" customFormat="false" ht="15" hidden="false" customHeight="false" outlineLevel="0" collapsed="false">
      <c r="A705" s="0" t="s">
        <v>736</v>
      </c>
      <c r="B705" s="2" t="n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0</v>
      </c>
      <c r="P705" s="0" t="n">
        <v>73.6</v>
      </c>
    </row>
    <row r="706" customFormat="false" ht="15" hidden="false" customHeight="false" outlineLevel="0" collapsed="false">
      <c r="A706" s="0" t="s">
        <v>737</v>
      </c>
      <c r="B706" s="2" t="n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0" t="n">
        <v>1</v>
      </c>
      <c r="I706" s="0" t="n">
        <v>1</v>
      </c>
      <c r="J706" s="0" t="n">
        <v>1</v>
      </c>
      <c r="K706" s="0" t="n">
        <v>0</v>
      </c>
      <c r="L706" s="0" t="n">
        <v>0</v>
      </c>
      <c r="M706" s="0" t="n">
        <v>1</v>
      </c>
      <c r="N706" s="0" t="n">
        <v>0</v>
      </c>
      <c r="P706" s="0" t="n">
        <v>47.3</v>
      </c>
    </row>
    <row r="707" customFormat="false" ht="15" hidden="false" customHeight="false" outlineLevel="0" collapsed="false">
      <c r="A707" s="0" t="s">
        <v>738</v>
      </c>
      <c r="B707" s="2" t="n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P707" s="0" t="n">
        <v>43.6</v>
      </c>
    </row>
    <row r="708" customFormat="false" ht="15" hidden="false" customHeight="false" outlineLevel="0" collapsed="false">
      <c r="A708" s="0" t="s">
        <v>739</v>
      </c>
      <c r="B708" s="2" t="n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0" t="n">
        <v>1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</row>
    <row r="709" customFormat="false" ht="15" hidden="false" customHeight="false" outlineLevel="0" collapsed="false">
      <c r="A709" s="0" t="s">
        <v>740</v>
      </c>
      <c r="B709" s="2" t="n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P709" s="0" t="n">
        <v>55.2</v>
      </c>
    </row>
    <row r="710" customFormat="false" ht="15" hidden="false" customHeight="false" outlineLevel="0" collapsed="false">
      <c r="A710" s="0" t="s">
        <v>741</v>
      </c>
      <c r="B710" s="2" t="n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0" t="n">
        <v>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P710" s="0" t="n">
        <v>49.4</v>
      </c>
    </row>
    <row r="711" customFormat="false" ht="15" hidden="false" customHeight="false" outlineLevel="0" collapsed="false">
      <c r="A711" s="0" t="s">
        <v>742</v>
      </c>
      <c r="B711" s="2" t="n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0" t="n">
        <v>1</v>
      </c>
      <c r="I711" s="0" t="n">
        <v>1</v>
      </c>
      <c r="J711" s="0" t="n">
        <v>1</v>
      </c>
      <c r="K711" s="0" t="n">
        <v>0</v>
      </c>
      <c r="L711" s="0" t="n">
        <v>0</v>
      </c>
      <c r="M711" s="0" t="n">
        <v>1</v>
      </c>
      <c r="N711" s="0" t="n">
        <v>0</v>
      </c>
      <c r="P711" s="0" t="n">
        <v>60.1</v>
      </c>
    </row>
    <row r="712" customFormat="false" ht="15" hidden="false" customHeight="false" outlineLevel="0" collapsed="false">
      <c r="A712" s="0" t="s">
        <v>743</v>
      </c>
      <c r="B712" s="2" t="n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0" t="n">
        <v>1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P712" s="0" t="n">
        <v>55.9</v>
      </c>
    </row>
    <row r="713" customFormat="false" ht="15" hidden="false" customHeight="false" outlineLevel="0" collapsed="false">
      <c r="A713" s="0" t="s">
        <v>744</v>
      </c>
      <c r="B713" s="2" t="n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0" t="n">
        <v>1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P713" s="0" t="n">
        <v>51.5</v>
      </c>
    </row>
    <row r="714" customFormat="false" ht="15" hidden="false" customHeight="false" outlineLevel="0" collapsed="false">
      <c r="A714" s="0" t="s">
        <v>745</v>
      </c>
      <c r="B714" s="2" t="n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0" t="n">
        <v>1</v>
      </c>
      <c r="I714" s="0" t="n">
        <v>1</v>
      </c>
      <c r="J714" s="0" t="n">
        <v>1</v>
      </c>
      <c r="K714" s="0" t="n">
        <v>1</v>
      </c>
      <c r="L714" s="0" t="n">
        <v>516.67</v>
      </c>
      <c r="M714" s="0" t="n">
        <v>0</v>
      </c>
      <c r="N714" s="0" t="n">
        <v>0</v>
      </c>
      <c r="O714" s="0" t="n">
        <v>11</v>
      </c>
      <c r="P714" s="0" t="n">
        <v>57.9</v>
      </c>
    </row>
    <row r="715" customFormat="false" ht="15" hidden="false" customHeight="false" outlineLevel="0" collapsed="false">
      <c r="A715" s="0" t="s">
        <v>746</v>
      </c>
      <c r="B715" s="2" t="n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0" t="n">
        <v>1</v>
      </c>
      <c r="I715" s="0" t="n">
        <v>1</v>
      </c>
      <c r="J715" s="0" t="n">
        <v>1</v>
      </c>
      <c r="K715" s="0" t="n">
        <v>1</v>
      </c>
      <c r="L715" s="0" t="n">
        <v>277.18</v>
      </c>
      <c r="M715" s="0" t="n">
        <v>2</v>
      </c>
      <c r="N715" s="0" t="n">
        <v>0</v>
      </c>
      <c r="O715" s="0" t="n">
        <v>8</v>
      </c>
      <c r="P715" s="0" t="n">
        <v>59.2</v>
      </c>
    </row>
    <row r="716" customFormat="false" ht="15" hidden="false" customHeight="false" outlineLevel="0" collapsed="false">
      <c r="A716" s="0" t="s">
        <v>747</v>
      </c>
      <c r="B716" s="2" t="n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P716" s="0" t="n">
        <v>64.2</v>
      </c>
    </row>
    <row r="717" customFormat="false" ht="15" hidden="false" customHeight="false" outlineLevel="0" collapsed="false">
      <c r="A717" s="0" t="s">
        <v>748</v>
      </c>
      <c r="B717" s="2" t="n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0" t="n">
        <v>1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P717" s="0" t="n">
        <v>68.8</v>
      </c>
    </row>
    <row r="718" customFormat="false" ht="15" hidden="false" customHeight="false" outlineLevel="0" collapsed="false">
      <c r="A718" s="0" t="s">
        <v>749</v>
      </c>
      <c r="B718" s="2" t="n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0" t="n">
        <v>1</v>
      </c>
      <c r="I718" s="0" t="n">
        <v>1</v>
      </c>
      <c r="J718" s="0" t="n">
        <v>1</v>
      </c>
      <c r="K718" s="0" t="n">
        <v>0</v>
      </c>
      <c r="L718" s="0" t="n">
        <v>0</v>
      </c>
      <c r="M718" s="0" t="n">
        <v>0</v>
      </c>
      <c r="N718" s="0" t="n">
        <v>0</v>
      </c>
      <c r="P718" s="0" t="n">
        <v>77.9</v>
      </c>
    </row>
    <row r="719" customFormat="false" ht="15" hidden="false" customHeight="false" outlineLevel="0" collapsed="false">
      <c r="A719" s="0" t="s">
        <v>750</v>
      </c>
      <c r="B719" s="2" t="n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P719" s="0" t="n">
        <v>92.1</v>
      </c>
    </row>
    <row r="720" customFormat="false" ht="15" hidden="false" customHeight="false" outlineLevel="0" collapsed="false">
      <c r="A720" s="0" t="s">
        <v>751</v>
      </c>
      <c r="B720" s="2" t="n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P720" s="0" t="n">
        <v>63.6</v>
      </c>
    </row>
    <row r="721" customFormat="false" ht="15" hidden="false" customHeight="false" outlineLevel="0" collapsed="false">
      <c r="A721" s="0" t="s">
        <v>752</v>
      </c>
      <c r="B721" s="2" t="n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2</v>
      </c>
      <c r="N721" s="0" t="n">
        <v>0</v>
      </c>
      <c r="P721" s="0" t="n">
        <v>61.6</v>
      </c>
    </row>
    <row r="722" customFormat="false" ht="15" hidden="false" customHeight="false" outlineLevel="0" collapsed="false">
      <c r="A722" s="0" t="s">
        <v>753</v>
      </c>
      <c r="B722" s="2" t="n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0" t="n">
        <v>1</v>
      </c>
      <c r="I722" s="0" t="n">
        <v>1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P722" s="0" t="n">
        <v>82.3</v>
      </c>
    </row>
    <row r="723" customFormat="false" ht="15" hidden="false" customHeight="false" outlineLevel="0" collapsed="false">
      <c r="A723" s="0" t="s">
        <v>754</v>
      </c>
      <c r="B723" s="2" t="n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0" t="n">
        <v>1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P723" s="0" t="n">
        <v>79.3</v>
      </c>
    </row>
    <row r="724" customFormat="false" ht="15" hidden="false" customHeight="false" outlineLevel="0" collapsed="false">
      <c r="A724" s="0" t="s">
        <v>755</v>
      </c>
      <c r="B724" s="2" t="n">
        <v>45729</v>
      </c>
      <c r="C724" s="3" t="s">
        <v>723</v>
      </c>
      <c r="D724" s="3" t="s">
        <v>32</v>
      </c>
      <c r="E724" s="3" t="s">
        <v>24</v>
      </c>
      <c r="G724" s="3" t="s">
        <v>26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P724" s="0" t="n">
        <v>57.7</v>
      </c>
    </row>
    <row r="725" customFormat="false" ht="15" hidden="false" customHeight="false" outlineLevel="0" collapsed="false">
      <c r="A725" s="0" t="s">
        <v>756</v>
      </c>
      <c r="B725" s="2" t="n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0" t="n">
        <v>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P725" s="0" t="n">
        <v>63.1</v>
      </c>
    </row>
    <row r="726" customFormat="false" ht="15" hidden="false" customHeight="false" outlineLevel="0" collapsed="false">
      <c r="A726" s="0" t="s">
        <v>757</v>
      </c>
      <c r="B726" s="2" t="n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P726" s="0" t="n">
        <v>72.3</v>
      </c>
    </row>
    <row r="727" customFormat="false" ht="15" hidden="false" customHeight="false" outlineLevel="0" collapsed="false">
      <c r="A727" s="0" t="s">
        <v>758</v>
      </c>
      <c r="B727" s="2" t="n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0" t="n">
        <v>1</v>
      </c>
      <c r="I727" s="0" t="n">
        <v>1</v>
      </c>
      <c r="J727" s="0" t="n">
        <v>1</v>
      </c>
      <c r="K727" s="0" t="n">
        <v>0</v>
      </c>
      <c r="L727" s="0" t="n">
        <v>0</v>
      </c>
      <c r="M727" s="0" t="n">
        <v>0</v>
      </c>
      <c r="N727" s="0" t="n">
        <v>0</v>
      </c>
      <c r="P727" s="0" t="n">
        <v>78</v>
      </c>
    </row>
    <row r="728" customFormat="false" ht="15" hidden="false" customHeight="false" outlineLevel="0" collapsed="false">
      <c r="A728" s="0" t="s">
        <v>759</v>
      </c>
      <c r="B728" s="2" t="n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0" t="n">
        <v>1</v>
      </c>
      <c r="I728" s="0" t="n">
        <v>1</v>
      </c>
      <c r="J728" s="0" t="n">
        <v>0</v>
      </c>
      <c r="K728" s="0" t="n">
        <v>0</v>
      </c>
      <c r="L728" s="0" t="n">
        <v>0</v>
      </c>
      <c r="M728" s="0" t="n">
        <v>2</v>
      </c>
      <c r="N728" s="0" t="n">
        <v>0</v>
      </c>
      <c r="P728" s="0" t="n">
        <v>59.1</v>
      </c>
    </row>
    <row r="729" customFormat="false" ht="15" hidden="false" customHeight="false" outlineLevel="0" collapsed="false">
      <c r="A729" s="0" t="s">
        <v>760</v>
      </c>
      <c r="B729" s="2" t="n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0" t="n">
        <v>1</v>
      </c>
      <c r="I729" s="0" t="n">
        <v>1</v>
      </c>
      <c r="J729" s="0" t="n">
        <v>1</v>
      </c>
      <c r="K729" s="0" t="n">
        <v>1</v>
      </c>
      <c r="L729" s="0" t="n">
        <v>604.09</v>
      </c>
      <c r="M729" s="0" t="n">
        <v>0</v>
      </c>
      <c r="N729" s="0" t="n">
        <v>0</v>
      </c>
      <c r="O729" s="0" t="n">
        <v>7</v>
      </c>
      <c r="P729" s="0" t="n">
        <v>47.1</v>
      </c>
    </row>
    <row r="730" customFormat="false" ht="15" hidden="false" customHeight="false" outlineLevel="0" collapsed="false">
      <c r="A730" s="0" t="s">
        <v>761</v>
      </c>
      <c r="B730" s="2" t="n">
        <v>45692</v>
      </c>
      <c r="C730" s="3" t="s">
        <v>723</v>
      </c>
      <c r="D730" s="3" t="s">
        <v>32</v>
      </c>
      <c r="E730" s="3" t="s">
        <v>24</v>
      </c>
      <c r="G730" s="3" t="s">
        <v>30</v>
      </c>
      <c r="H730" s="0" t="n">
        <v>1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P730" s="0" t="n">
        <v>64.9</v>
      </c>
    </row>
    <row r="731" customFormat="false" ht="15" hidden="false" customHeight="false" outlineLevel="0" collapsed="false">
      <c r="A731" s="0" t="s">
        <v>762</v>
      </c>
      <c r="B731" s="2" t="n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P731" s="0" t="n">
        <v>67.3</v>
      </c>
    </row>
    <row r="732" customFormat="false" ht="15" hidden="false" customHeight="false" outlineLevel="0" collapsed="false">
      <c r="A732" s="0" t="s">
        <v>763</v>
      </c>
      <c r="B732" s="2" t="n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0" t="n">
        <v>1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2</v>
      </c>
      <c r="N732" s="0" t="n">
        <v>0</v>
      </c>
      <c r="P732" s="0" t="n">
        <v>52.9</v>
      </c>
    </row>
    <row r="733" customFormat="false" ht="15" hidden="false" customHeight="false" outlineLevel="0" collapsed="false">
      <c r="A733" s="0" t="s">
        <v>764</v>
      </c>
      <c r="B733" s="2" t="n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0" t="n">
        <v>1</v>
      </c>
      <c r="I733" s="0" t="n">
        <v>1</v>
      </c>
      <c r="J733" s="0" t="n">
        <v>1</v>
      </c>
      <c r="K733" s="0" t="n">
        <v>1</v>
      </c>
      <c r="L733" s="0" t="n">
        <v>442.37</v>
      </c>
      <c r="M733" s="0" t="n">
        <v>1</v>
      </c>
      <c r="N733" s="0" t="n">
        <v>0</v>
      </c>
      <c r="O733" s="0" t="n">
        <v>4</v>
      </c>
      <c r="P733" s="0" t="n">
        <v>69.9</v>
      </c>
    </row>
    <row r="734" customFormat="false" ht="15" hidden="false" customHeight="false" outlineLevel="0" collapsed="false">
      <c r="A734" s="0" t="s">
        <v>765</v>
      </c>
      <c r="B734" s="2" t="n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0" t="n">
        <v>1</v>
      </c>
      <c r="I734" s="0" t="n">
        <v>1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P734" s="0" t="n">
        <v>78.9</v>
      </c>
    </row>
    <row r="735" customFormat="false" ht="15" hidden="false" customHeight="false" outlineLevel="0" collapsed="false">
      <c r="A735" s="0" t="s">
        <v>766</v>
      </c>
      <c r="B735" s="2" t="n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0" t="n">
        <v>1</v>
      </c>
      <c r="I735" s="0" t="n">
        <v>1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P735" s="0" t="n">
        <v>83.3</v>
      </c>
    </row>
    <row r="736" customFormat="false" ht="15" hidden="false" customHeight="false" outlineLevel="0" collapsed="false">
      <c r="A736" s="0" t="s">
        <v>767</v>
      </c>
      <c r="B736" s="2" t="n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0" t="n">
        <v>1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0</v>
      </c>
      <c r="P736" s="0" t="n">
        <v>24.5</v>
      </c>
    </row>
    <row r="737" customFormat="false" ht="15" hidden="false" customHeight="false" outlineLevel="0" collapsed="false">
      <c r="A737" s="0" t="s">
        <v>768</v>
      </c>
      <c r="B737" s="2" t="n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0" t="n">
        <v>1</v>
      </c>
      <c r="I737" s="0" t="n">
        <v>1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0</v>
      </c>
      <c r="P737" s="0" t="n">
        <v>56.9</v>
      </c>
    </row>
    <row r="738" customFormat="false" ht="15" hidden="false" customHeight="false" outlineLevel="0" collapsed="false">
      <c r="A738" s="0" t="s">
        <v>769</v>
      </c>
      <c r="B738" s="2" t="n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0" t="n">
        <v>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P738" s="0" t="n">
        <v>69.9</v>
      </c>
    </row>
    <row r="739" customFormat="false" ht="15" hidden="false" customHeight="false" outlineLevel="0" collapsed="false">
      <c r="A739" s="0" t="s">
        <v>770</v>
      </c>
      <c r="B739" s="2" t="n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0" t="n">
        <v>1</v>
      </c>
      <c r="I739" s="0" t="n">
        <v>1</v>
      </c>
      <c r="J739" s="0" t="n">
        <v>1</v>
      </c>
      <c r="K739" s="0" t="n">
        <v>0</v>
      </c>
      <c r="L739" s="0" t="n">
        <v>0</v>
      </c>
      <c r="M739" s="0" t="n">
        <v>0</v>
      </c>
      <c r="N739" s="0" t="n">
        <v>0</v>
      </c>
      <c r="P739" s="0" t="n">
        <v>81.5</v>
      </c>
    </row>
    <row r="740" customFormat="false" ht="15" hidden="false" customHeight="false" outlineLevel="0" collapsed="false">
      <c r="A740" s="0" t="s">
        <v>771</v>
      </c>
      <c r="B740" s="2" t="n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2</v>
      </c>
      <c r="N740" s="0" t="n">
        <v>0</v>
      </c>
      <c r="P740" s="0" t="n">
        <v>37.9</v>
      </c>
    </row>
    <row r="741" customFormat="false" ht="15" hidden="false" customHeight="false" outlineLevel="0" collapsed="false">
      <c r="A741" s="0" t="s">
        <v>772</v>
      </c>
      <c r="B741" s="2" t="n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0</v>
      </c>
      <c r="P741" s="0" t="n">
        <v>61.7</v>
      </c>
    </row>
    <row r="742" customFormat="false" ht="15" hidden="false" customHeight="false" outlineLevel="0" collapsed="false">
      <c r="A742" s="0" t="s">
        <v>773</v>
      </c>
      <c r="B742" s="2" t="n">
        <v>45746</v>
      </c>
      <c r="C742" s="3" t="s">
        <v>723</v>
      </c>
      <c r="D742" s="3" t="s">
        <v>18</v>
      </c>
      <c r="E742" s="3" t="s">
        <v>19</v>
      </c>
      <c r="G742" s="3" t="s">
        <v>30</v>
      </c>
      <c r="H742" s="0" t="n">
        <v>1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2</v>
      </c>
      <c r="N742" s="0" t="n">
        <v>0</v>
      </c>
      <c r="P742" s="0" t="n">
        <v>53.2</v>
      </c>
    </row>
    <row r="743" customFormat="false" ht="15" hidden="false" customHeight="false" outlineLevel="0" collapsed="false">
      <c r="A743" s="0" t="s">
        <v>774</v>
      </c>
      <c r="B743" s="2" t="n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P743" s="0" t="n">
        <v>61.9</v>
      </c>
    </row>
    <row r="744" customFormat="false" ht="15" hidden="false" customHeight="false" outlineLevel="0" collapsed="false">
      <c r="A744" s="0" t="s">
        <v>775</v>
      </c>
      <c r="B744" s="2" t="n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0" t="n">
        <v>1</v>
      </c>
      <c r="I744" s="0" t="n">
        <v>1</v>
      </c>
      <c r="J744" s="0" t="n">
        <v>1</v>
      </c>
      <c r="K744" s="0" t="n">
        <v>0</v>
      </c>
      <c r="L744" s="0" t="n">
        <v>0</v>
      </c>
      <c r="M744" s="0" t="n">
        <v>0</v>
      </c>
      <c r="N744" s="0" t="n">
        <v>0</v>
      </c>
      <c r="P744" s="0" t="n">
        <v>68.9</v>
      </c>
    </row>
    <row r="745" customFormat="false" ht="15" hidden="false" customHeight="false" outlineLevel="0" collapsed="false">
      <c r="A745" s="0" t="s">
        <v>776</v>
      </c>
      <c r="B745" s="2" t="n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P745" s="0" t="n">
        <v>66.3</v>
      </c>
    </row>
    <row r="746" customFormat="false" ht="15" hidden="false" customHeight="false" outlineLevel="0" collapsed="false">
      <c r="A746" s="0" t="s">
        <v>777</v>
      </c>
      <c r="B746" s="2" t="n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0" t="n">
        <v>1</v>
      </c>
      <c r="I746" s="0" t="n">
        <v>1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0</v>
      </c>
      <c r="P746" s="0" t="n">
        <v>54.6</v>
      </c>
    </row>
    <row r="747" customFormat="false" ht="15" hidden="false" customHeight="false" outlineLevel="0" collapsed="false">
      <c r="A747" s="0" t="s">
        <v>778</v>
      </c>
      <c r="B747" s="2" t="n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P747" s="0" t="n">
        <v>53.8</v>
      </c>
    </row>
    <row r="748" customFormat="false" ht="15" hidden="false" customHeight="false" outlineLevel="0" collapsed="false">
      <c r="A748" s="0" t="s">
        <v>779</v>
      </c>
      <c r="B748" s="2" t="n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0" t="n">
        <v>1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P748" s="0" t="n">
        <v>59.5</v>
      </c>
    </row>
    <row r="749" customFormat="false" ht="15" hidden="false" customHeight="false" outlineLevel="0" collapsed="false">
      <c r="A749" s="0" t="s">
        <v>780</v>
      </c>
      <c r="B749" s="2" t="n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0" t="n">
        <v>1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P749" s="0" t="n">
        <v>52.6</v>
      </c>
    </row>
    <row r="750" customFormat="false" ht="15" hidden="false" customHeight="false" outlineLevel="0" collapsed="false">
      <c r="A750" s="0" t="s">
        <v>781</v>
      </c>
      <c r="B750" s="2" t="n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P750" s="0" t="n">
        <v>49</v>
      </c>
    </row>
    <row r="751" customFormat="false" ht="15" hidden="false" customHeight="false" outlineLevel="0" collapsed="false">
      <c r="A751" s="0" t="s">
        <v>782</v>
      </c>
      <c r="B751" s="2" t="n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0" t="n">
        <v>1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P751" s="0" t="n">
        <v>59.3</v>
      </c>
    </row>
    <row r="752" customFormat="false" ht="15" hidden="false" customHeight="false" outlineLevel="0" collapsed="false">
      <c r="A752" s="0" t="s">
        <v>783</v>
      </c>
      <c r="B752" s="2" t="n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P752" s="0" t="n">
        <v>67.2</v>
      </c>
    </row>
    <row r="753" customFormat="false" ht="15" hidden="false" customHeight="false" outlineLevel="0" collapsed="false">
      <c r="A753" s="0" t="s">
        <v>784</v>
      </c>
      <c r="B753" s="2" t="n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P753" s="0" t="n">
        <v>73.5</v>
      </c>
    </row>
    <row r="754" customFormat="false" ht="15" hidden="false" customHeight="false" outlineLevel="0" collapsed="false">
      <c r="A754" s="0" t="s">
        <v>785</v>
      </c>
      <c r="B754" s="2" t="n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0" t="n">
        <v>1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P754" s="0" t="n">
        <v>61.2</v>
      </c>
    </row>
    <row r="755" customFormat="false" ht="15" hidden="false" customHeight="false" outlineLevel="0" collapsed="false">
      <c r="A755" s="0" t="s">
        <v>786</v>
      </c>
      <c r="B755" s="2" t="n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0" t="n">
        <v>1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0</v>
      </c>
      <c r="P755" s="0" t="n">
        <v>56.4</v>
      </c>
    </row>
    <row r="756" customFormat="false" ht="15" hidden="false" customHeight="false" outlineLevel="0" collapsed="false">
      <c r="A756" s="0" t="s">
        <v>787</v>
      </c>
      <c r="B756" s="2" t="n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3</v>
      </c>
      <c r="N756" s="0" t="n">
        <v>0</v>
      </c>
      <c r="P756" s="0" t="n">
        <v>72.6</v>
      </c>
    </row>
    <row r="757" customFormat="false" ht="15" hidden="false" customHeight="false" outlineLevel="0" collapsed="false">
      <c r="A757" s="0" t="s">
        <v>788</v>
      </c>
      <c r="B757" s="2" t="n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0" t="n">
        <v>1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P757" s="0" t="n">
        <v>61.7</v>
      </c>
    </row>
    <row r="758" customFormat="false" ht="15" hidden="false" customHeight="false" outlineLevel="0" collapsed="false">
      <c r="A758" s="0" t="s">
        <v>789</v>
      </c>
      <c r="B758" s="2" t="n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0</v>
      </c>
      <c r="P758" s="0" t="n">
        <v>66.9</v>
      </c>
    </row>
    <row r="759" customFormat="false" ht="15" hidden="false" customHeight="false" outlineLevel="0" collapsed="false">
      <c r="A759" s="0" t="s">
        <v>790</v>
      </c>
      <c r="B759" s="2" t="n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0" t="n">
        <v>1</v>
      </c>
      <c r="I759" s="0" t="n">
        <v>1</v>
      </c>
      <c r="J759" s="0" t="n">
        <v>1</v>
      </c>
      <c r="K759" s="0" t="n">
        <v>1</v>
      </c>
      <c r="L759" s="0" t="n">
        <v>1506.24</v>
      </c>
      <c r="M759" s="0" t="n">
        <v>1</v>
      </c>
      <c r="N759" s="0" t="n">
        <v>0</v>
      </c>
      <c r="O759" s="0" t="n">
        <v>7</v>
      </c>
      <c r="P759" s="0" t="n">
        <v>64.9</v>
      </c>
    </row>
    <row r="760" customFormat="false" ht="15" hidden="false" customHeight="false" outlineLevel="0" collapsed="false">
      <c r="A760" s="0" t="s">
        <v>791</v>
      </c>
      <c r="B760" s="2" t="n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0" t="n">
        <v>1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P760" s="0" t="n">
        <v>57.5</v>
      </c>
    </row>
    <row r="761" customFormat="false" ht="15" hidden="false" customHeight="false" outlineLevel="0" collapsed="false">
      <c r="A761" s="0" t="s">
        <v>792</v>
      </c>
      <c r="B761" s="2" t="n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0" t="n">
        <v>1</v>
      </c>
      <c r="I761" s="0" t="n">
        <v>1</v>
      </c>
      <c r="J761" s="0" t="n">
        <v>1</v>
      </c>
      <c r="K761" s="0" t="n">
        <v>0</v>
      </c>
      <c r="L761" s="0" t="n">
        <v>0</v>
      </c>
      <c r="M761" s="0" t="n">
        <v>0</v>
      </c>
      <c r="N761" s="0" t="n">
        <v>0</v>
      </c>
      <c r="P761" s="0" t="n">
        <v>76.3</v>
      </c>
    </row>
    <row r="762" customFormat="false" ht="15" hidden="false" customHeight="false" outlineLevel="0" collapsed="false">
      <c r="A762" s="0" t="s">
        <v>793</v>
      </c>
      <c r="B762" s="2" t="n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P762" s="0" t="n">
        <v>47.5</v>
      </c>
    </row>
    <row r="763" customFormat="false" ht="15" hidden="false" customHeight="false" outlineLevel="0" collapsed="false">
      <c r="A763" s="0" t="s">
        <v>794</v>
      </c>
      <c r="B763" s="2" t="n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</row>
    <row r="764" customFormat="false" ht="15" hidden="false" customHeight="false" outlineLevel="0" collapsed="false">
      <c r="A764" s="0" t="s">
        <v>795</v>
      </c>
      <c r="B764" s="2" t="n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0" t="n">
        <v>1</v>
      </c>
      <c r="I764" s="0" t="n">
        <v>1</v>
      </c>
      <c r="J764" s="0" t="n">
        <v>0</v>
      </c>
      <c r="K764" s="0" t="n">
        <v>0</v>
      </c>
      <c r="L764" s="0" t="n">
        <v>0</v>
      </c>
      <c r="M764" s="0" t="n">
        <v>2</v>
      </c>
      <c r="N764" s="0" t="n">
        <v>0</v>
      </c>
      <c r="P764" s="0" t="n">
        <v>71.6</v>
      </c>
    </row>
    <row r="765" customFormat="false" ht="15" hidden="false" customHeight="false" outlineLevel="0" collapsed="false">
      <c r="A765" s="0" t="s">
        <v>796</v>
      </c>
      <c r="B765" s="2" t="n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0" t="n">
        <v>1</v>
      </c>
      <c r="I765" s="0" t="n">
        <v>1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P765" s="0" t="n">
        <v>55.8</v>
      </c>
    </row>
    <row r="766" customFormat="false" ht="15" hidden="false" customHeight="false" outlineLevel="0" collapsed="false">
      <c r="A766" s="0" t="s">
        <v>797</v>
      </c>
      <c r="B766" s="2" t="n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0</v>
      </c>
      <c r="P766" s="0" t="n">
        <v>60.1</v>
      </c>
    </row>
    <row r="767" customFormat="false" ht="15" hidden="false" customHeight="false" outlineLevel="0" collapsed="false">
      <c r="A767" s="0" t="s">
        <v>798</v>
      </c>
      <c r="B767" s="2" t="n">
        <v>45671</v>
      </c>
      <c r="C767" s="3" t="s">
        <v>723</v>
      </c>
      <c r="D767" s="3" t="s">
        <v>23</v>
      </c>
      <c r="F767" s="3" t="s">
        <v>20</v>
      </c>
      <c r="G767" s="3" t="s">
        <v>21</v>
      </c>
      <c r="H767" s="0" t="n">
        <v>1</v>
      </c>
      <c r="I767" s="0" t="n">
        <v>1</v>
      </c>
      <c r="J767" s="0" t="n">
        <v>1</v>
      </c>
      <c r="K767" s="0" t="n">
        <v>0</v>
      </c>
      <c r="L767" s="0" t="n">
        <v>0</v>
      </c>
      <c r="M767" s="0" t="n">
        <v>1</v>
      </c>
      <c r="N767" s="0" t="n">
        <v>0</v>
      </c>
      <c r="P767" s="0" t="n">
        <v>59.3</v>
      </c>
    </row>
    <row r="768" customFormat="false" ht="15" hidden="false" customHeight="false" outlineLevel="0" collapsed="false">
      <c r="A768" s="0" t="s">
        <v>799</v>
      </c>
      <c r="B768" s="2" t="n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0" t="n">
        <v>1</v>
      </c>
      <c r="I768" s="0" t="n">
        <v>1</v>
      </c>
      <c r="J768" s="0" t="n">
        <v>0</v>
      </c>
      <c r="K768" s="0" t="n">
        <v>0</v>
      </c>
      <c r="L768" s="0" t="n">
        <v>0</v>
      </c>
      <c r="M768" s="0" t="n">
        <v>2</v>
      </c>
      <c r="N768" s="0" t="n">
        <v>0</v>
      </c>
      <c r="P768" s="0" t="n">
        <v>49.3</v>
      </c>
    </row>
    <row r="769" customFormat="false" ht="15" hidden="false" customHeight="false" outlineLevel="0" collapsed="false">
      <c r="A769" s="0" t="s">
        <v>800</v>
      </c>
      <c r="B769" s="2" t="n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0" t="n">
        <v>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P769" s="0" t="n">
        <v>75</v>
      </c>
    </row>
    <row r="770" customFormat="false" ht="15" hidden="false" customHeight="false" outlineLevel="0" collapsed="false">
      <c r="A770" s="0" t="s">
        <v>801</v>
      </c>
      <c r="B770" s="2" t="n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0" t="n">
        <v>1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P770" s="0" t="n">
        <v>70.2</v>
      </c>
    </row>
    <row r="771" customFormat="false" ht="15" hidden="false" customHeight="false" outlineLevel="0" collapsed="false">
      <c r="A771" s="0" t="s">
        <v>802</v>
      </c>
      <c r="B771" s="2" t="n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0" t="n">
        <v>1</v>
      </c>
      <c r="I771" s="0" t="n">
        <v>1</v>
      </c>
      <c r="J771" s="0" t="n">
        <v>1</v>
      </c>
      <c r="K771" s="0" t="n">
        <v>0</v>
      </c>
      <c r="L771" s="0" t="n">
        <v>0</v>
      </c>
      <c r="M771" s="0" t="n">
        <v>0</v>
      </c>
      <c r="N771" s="0" t="n">
        <v>0</v>
      </c>
      <c r="P771" s="0" t="n">
        <v>56.6</v>
      </c>
    </row>
    <row r="772" customFormat="false" ht="15" hidden="false" customHeight="false" outlineLevel="0" collapsed="false">
      <c r="A772" s="0" t="s">
        <v>803</v>
      </c>
      <c r="B772" s="2" t="n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0" t="n">
        <v>1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P772" s="0" t="n">
        <v>65.4</v>
      </c>
    </row>
    <row r="773" customFormat="false" ht="15" hidden="false" customHeight="false" outlineLevel="0" collapsed="false">
      <c r="A773" s="0" t="s">
        <v>804</v>
      </c>
      <c r="B773" s="2" t="n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0" t="n">
        <v>1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P773" s="0" t="n">
        <v>47.6</v>
      </c>
    </row>
    <row r="774" customFormat="false" ht="15" hidden="false" customHeight="false" outlineLevel="0" collapsed="false">
      <c r="A774" s="0" t="s">
        <v>805</v>
      </c>
      <c r="B774" s="2" t="n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0" t="n">
        <v>1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P774" s="0" t="n">
        <v>56.7</v>
      </c>
    </row>
    <row r="775" customFormat="false" ht="15" hidden="false" customHeight="false" outlineLevel="0" collapsed="false">
      <c r="A775" s="0" t="s">
        <v>806</v>
      </c>
      <c r="B775" s="2" t="n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0" t="n">
        <v>1</v>
      </c>
      <c r="I775" s="0" t="n">
        <v>1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P775" s="0" t="n">
        <v>71.4</v>
      </c>
    </row>
    <row r="776" customFormat="false" ht="15" hidden="false" customHeight="false" outlineLevel="0" collapsed="false">
      <c r="A776" s="0" t="s">
        <v>807</v>
      </c>
      <c r="B776" s="2" t="n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2</v>
      </c>
      <c r="N776" s="0" t="n">
        <v>0</v>
      </c>
      <c r="P776" s="0" t="n">
        <v>60.5</v>
      </c>
    </row>
    <row r="777" customFormat="false" ht="15" hidden="false" customHeight="false" outlineLevel="0" collapsed="false">
      <c r="A777" s="0" t="s">
        <v>808</v>
      </c>
      <c r="B777" s="2" t="n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0" t="n">
        <v>1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P777" s="0" t="n">
        <v>46.7</v>
      </c>
    </row>
    <row r="778" customFormat="false" ht="15" hidden="false" customHeight="false" outlineLevel="0" collapsed="false">
      <c r="A778" s="0" t="s">
        <v>809</v>
      </c>
      <c r="B778" s="2" t="n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P778" s="0" t="n">
        <v>61</v>
      </c>
    </row>
    <row r="779" customFormat="false" ht="15" hidden="false" customHeight="false" outlineLevel="0" collapsed="false">
      <c r="A779" s="0" t="s">
        <v>810</v>
      </c>
      <c r="B779" s="2" t="n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P779" s="0" t="n">
        <v>60.9</v>
      </c>
    </row>
    <row r="780" customFormat="false" ht="15" hidden="false" customHeight="false" outlineLevel="0" collapsed="false">
      <c r="A780" s="0" t="s">
        <v>811</v>
      </c>
      <c r="B780" s="2" t="n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0" t="n">
        <v>1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P780" s="0" t="n">
        <v>67.1</v>
      </c>
    </row>
    <row r="781" customFormat="false" ht="15" hidden="false" customHeight="false" outlineLevel="0" collapsed="false">
      <c r="A781" s="0" t="s">
        <v>812</v>
      </c>
      <c r="B781" s="2" t="n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0" t="n">
        <v>1</v>
      </c>
      <c r="I781" s="0" t="n">
        <v>1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P781" s="0" t="n">
        <v>59.6</v>
      </c>
    </row>
    <row r="782" customFormat="false" ht="15" hidden="false" customHeight="false" outlineLevel="0" collapsed="false">
      <c r="A782" s="0" t="s">
        <v>813</v>
      </c>
      <c r="B782" s="2" t="n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0" t="n">
        <v>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P782" s="0" t="n">
        <v>83.8</v>
      </c>
    </row>
    <row r="783" customFormat="false" ht="15" hidden="false" customHeight="false" outlineLevel="0" collapsed="false">
      <c r="A783" s="0" t="s">
        <v>814</v>
      </c>
      <c r="B783" s="2" t="n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0" t="n">
        <v>1</v>
      </c>
      <c r="I783" s="0" t="n">
        <v>1</v>
      </c>
      <c r="J783" s="0" t="n">
        <v>1</v>
      </c>
      <c r="K783" s="0" t="n">
        <v>0</v>
      </c>
      <c r="L783" s="0" t="n">
        <v>0</v>
      </c>
      <c r="M783" s="0" t="n">
        <v>0</v>
      </c>
      <c r="N783" s="0" t="n">
        <v>0</v>
      </c>
      <c r="P783" s="0" t="n">
        <v>70.8</v>
      </c>
    </row>
    <row r="784" customFormat="false" ht="15" hidden="false" customHeight="false" outlineLevel="0" collapsed="false">
      <c r="A784" s="0" t="s">
        <v>815</v>
      </c>
      <c r="B784" s="2" t="n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P784" s="0" t="n">
        <v>65.9</v>
      </c>
    </row>
    <row r="785" customFormat="false" ht="15" hidden="false" customHeight="false" outlineLevel="0" collapsed="false">
      <c r="A785" s="0" t="s">
        <v>816</v>
      </c>
      <c r="B785" s="2" t="n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0" t="n">
        <v>1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P785" s="0" t="n">
        <v>58</v>
      </c>
    </row>
    <row r="786" customFormat="false" ht="15" hidden="false" customHeight="false" outlineLevel="0" collapsed="false">
      <c r="A786" s="0" t="s">
        <v>817</v>
      </c>
      <c r="B786" s="2" t="n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0" t="n">
        <v>1</v>
      </c>
      <c r="I786" s="0" t="n">
        <v>1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P786" s="0" t="n">
        <v>80.3</v>
      </c>
    </row>
    <row r="787" customFormat="false" ht="15" hidden="false" customHeight="false" outlineLevel="0" collapsed="false">
      <c r="A787" s="0" t="s">
        <v>818</v>
      </c>
      <c r="B787" s="2" t="n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0" t="n">
        <v>1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P787" s="0" t="n">
        <v>55.7</v>
      </c>
    </row>
    <row r="788" customFormat="false" ht="15" hidden="false" customHeight="false" outlineLevel="0" collapsed="false">
      <c r="A788" s="0" t="s">
        <v>819</v>
      </c>
      <c r="B788" s="2" t="n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0" t="n">
        <v>1</v>
      </c>
      <c r="I788" s="0" t="n">
        <v>1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P788" s="0" t="n">
        <v>84.9</v>
      </c>
    </row>
    <row r="789" customFormat="false" ht="15" hidden="false" customHeight="false" outlineLevel="0" collapsed="false">
      <c r="A789" s="0" t="s">
        <v>820</v>
      </c>
      <c r="B789" s="2" t="n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0" t="n">
        <v>1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P789" s="0" t="n">
        <v>63.3</v>
      </c>
    </row>
    <row r="790" customFormat="false" ht="15" hidden="false" customHeight="false" outlineLevel="0" collapsed="false">
      <c r="A790" s="0" t="s">
        <v>821</v>
      </c>
      <c r="B790" s="2" t="n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P790" s="0" t="n">
        <v>53.1</v>
      </c>
    </row>
    <row r="791" customFormat="false" ht="15" hidden="false" customHeight="false" outlineLevel="0" collapsed="false">
      <c r="A791" s="0" t="s">
        <v>822</v>
      </c>
      <c r="B791" s="2" t="n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P791" s="0" t="n">
        <v>66</v>
      </c>
    </row>
    <row r="792" customFormat="false" ht="15" hidden="false" customHeight="false" outlineLevel="0" collapsed="false">
      <c r="A792" s="0" t="s">
        <v>823</v>
      </c>
      <c r="B792" s="2" t="n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P792" s="0" t="n">
        <v>54.7</v>
      </c>
    </row>
    <row r="793" customFormat="false" ht="15" hidden="false" customHeight="false" outlineLevel="0" collapsed="false">
      <c r="A793" s="0" t="s">
        <v>824</v>
      </c>
      <c r="B793" s="2" t="n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0" t="n">
        <v>1</v>
      </c>
      <c r="I793" s="0" t="n">
        <v>1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0</v>
      </c>
      <c r="P793" s="0" t="n">
        <v>41.2</v>
      </c>
    </row>
    <row r="794" customFormat="false" ht="15" hidden="false" customHeight="false" outlineLevel="0" collapsed="false">
      <c r="A794" s="0" t="s">
        <v>825</v>
      </c>
      <c r="B794" s="2" t="n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P794" s="0" t="n">
        <v>66.7</v>
      </c>
    </row>
    <row r="795" customFormat="false" ht="15" hidden="false" customHeight="false" outlineLevel="0" collapsed="false">
      <c r="A795" s="0" t="s">
        <v>826</v>
      </c>
      <c r="B795" s="2" t="n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P795" s="0" t="n">
        <v>39.4</v>
      </c>
    </row>
    <row r="796" customFormat="false" ht="15" hidden="false" customHeight="false" outlineLevel="0" collapsed="false">
      <c r="A796" s="0" t="s">
        <v>827</v>
      </c>
      <c r="B796" s="2" t="n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3</v>
      </c>
      <c r="N796" s="0" t="n">
        <v>0</v>
      </c>
      <c r="P796" s="0" t="n">
        <v>67</v>
      </c>
    </row>
    <row r="797" customFormat="false" ht="15" hidden="false" customHeight="false" outlineLevel="0" collapsed="false">
      <c r="A797" s="0" t="s">
        <v>828</v>
      </c>
      <c r="B797" s="2" t="n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0" t="n">
        <v>1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P797" s="0" t="n">
        <v>50.4</v>
      </c>
    </row>
    <row r="798" customFormat="false" ht="15" hidden="false" customHeight="false" outlineLevel="0" collapsed="false">
      <c r="A798" s="0" t="s">
        <v>829</v>
      </c>
      <c r="B798" s="2" t="n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0" t="n">
        <v>1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P798" s="0" t="n">
        <v>53.8</v>
      </c>
    </row>
    <row r="799" customFormat="false" ht="15" hidden="false" customHeight="false" outlineLevel="0" collapsed="false">
      <c r="A799" s="0" t="s">
        <v>830</v>
      </c>
      <c r="B799" s="2" t="n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0</v>
      </c>
      <c r="P799" s="0" t="n">
        <v>82.7</v>
      </c>
    </row>
    <row r="800" customFormat="false" ht="15" hidden="false" customHeight="false" outlineLevel="0" collapsed="false">
      <c r="A800" s="0" t="s">
        <v>831</v>
      </c>
      <c r="B800" s="2" t="n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0" t="n">
        <v>1</v>
      </c>
      <c r="I800" s="0" t="n">
        <v>1</v>
      </c>
      <c r="J800" s="0" t="n">
        <v>1</v>
      </c>
      <c r="K800" s="0" t="n">
        <v>0</v>
      </c>
      <c r="L800" s="0" t="n">
        <v>0</v>
      </c>
      <c r="M800" s="0" t="n">
        <v>0</v>
      </c>
      <c r="N800" s="0" t="n">
        <v>0</v>
      </c>
      <c r="P800" s="0" t="n">
        <v>63.9</v>
      </c>
    </row>
    <row r="801" customFormat="false" ht="15" hidden="false" customHeight="false" outlineLevel="0" collapsed="false">
      <c r="A801" s="0" t="s">
        <v>832</v>
      </c>
      <c r="B801" s="2" t="n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0" t="n">
        <v>1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P801" s="0" t="n">
        <v>61.9</v>
      </c>
    </row>
    <row r="802" customFormat="false" ht="15" hidden="false" customHeight="false" outlineLevel="0" collapsed="false">
      <c r="A802" s="0" t="s">
        <v>833</v>
      </c>
      <c r="B802" s="2" t="n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0" t="n">
        <v>1</v>
      </c>
      <c r="I802" s="0" t="n">
        <v>1</v>
      </c>
      <c r="J802" s="0" t="n">
        <v>1</v>
      </c>
      <c r="K802" s="0" t="n">
        <v>0</v>
      </c>
      <c r="L802" s="0" t="n">
        <v>0</v>
      </c>
      <c r="M802" s="0" t="n">
        <v>0</v>
      </c>
      <c r="N802" s="0" t="n">
        <v>0</v>
      </c>
      <c r="P802" s="0" t="n">
        <v>75</v>
      </c>
    </row>
    <row r="803" customFormat="false" ht="15" hidden="false" customHeight="false" outlineLevel="0" collapsed="false">
      <c r="A803" s="0" t="s">
        <v>834</v>
      </c>
      <c r="B803" s="2" t="n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0" t="n">
        <v>1</v>
      </c>
      <c r="I803" s="0" t="n">
        <v>1</v>
      </c>
      <c r="J803" s="0" t="n">
        <v>1</v>
      </c>
      <c r="K803" s="0" t="n">
        <v>0</v>
      </c>
      <c r="L803" s="0" t="n">
        <v>0</v>
      </c>
      <c r="M803" s="0" t="n">
        <v>0</v>
      </c>
      <c r="N803" s="0" t="n">
        <v>0</v>
      </c>
      <c r="P803" s="0" t="n">
        <v>43</v>
      </c>
    </row>
    <row r="804" customFormat="false" ht="15" hidden="false" customHeight="false" outlineLevel="0" collapsed="false">
      <c r="A804" s="0" t="s">
        <v>835</v>
      </c>
      <c r="B804" s="2" t="n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P804" s="0" t="n">
        <v>54.3</v>
      </c>
    </row>
    <row r="805" customFormat="false" ht="15" hidden="false" customHeight="false" outlineLevel="0" collapsed="false">
      <c r="A805" s="0" t="s">
        <v>836</v>
      </c>
      <c r="B805" s="2" t="n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</v>
      </c>
      <c r="N805" s="0" t="n">
        <v>0</v>
      </c>
      <c r="P805" s="0" t="n">
        <v>44.3</v>
      </c>
    </row>
    <row r="806" customFormat="false" ht="15" hidden="false" customHeight="false" outlineLevel="0" collapsed="false">
      <c r="A806" s="0" t="s">
        <v>837</v>
      </c>
      <c r="B806" s="2" t="n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0" t="n">
        <v>1</v>
      </c>
      <c r="I806" s="0" t="n">
        <v>1</v>
      </c>
      <c r="J806" s="0" t="n">
        <v>1</v>
      </c>
      <c r="K806" s="0" t="n">
        <v>1</v>
      </c>
      <c r="L806" s="0" t="n">
        <v>402.88</v>
      </c>
      <c r="M806" s="0" t="n">
        <v>0</v>
      </c>
      <c r="N806" s="0" t="n">
        <v>0</v>
      </c>
      <c r="O806" s="0" t="n">
        <v>12</v>
      </c>
      <c r="P806" s="0" t="n">
        <v>76</v>
      </c>
    </row>
    <row r="807" customFormat="false" ht="15" hidden="false" customHeight="false" outlineLevel="0" collapsed="false">
      <c r="A807" s="0" t="s">
        <v>838</v>
      </c>
      <c r="B807" s="2" t="n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0" t="n">
        <v>1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2</v>
      </c>
      <c r="N807" s="0" t="n">
        <v>0</v>
      </c>
      <c r="P807" s="0" t="n">
        <v>65.3</v>
      </c>
    </row>
    <row r="808" customFormat="false" ht="15" hidden="false" customHeight="false" outlineLevel="0" collapsed="false">
      <c r="A808" s="0" t="s">
        <v>839</v>
      </c>
      <c r="B808" s="2" t="n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0" t="n">
        <v>1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P808" s="0" t="n">
        <v>71.2</v>
      </c>
    </row>
    <row r="809" customFormat="false" ht="15" hidden="false" customHeight="false" outlineLevel="0" collapsed="false">
      <c r="A809" s="0" t="s">
        <v>840</v>
      </c>
      <c r="B809" s="2" t="n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0" t="n">
        <v>1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P809" s="0" t="n">
        <v>77.9</v>
      </c>
    </row>
    <row r="810" customFormat="false" ht="15" hidden="false" customHeight="false" outlineLevel="0" collapsed="false">
      <c r="A810" s="0" t="s">
        <v>841</v>
      </c>
      <c r="B810" s="2" t="n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P810" s="0" t="n">
        <v>48.6</v>
      </c>
    </row>
    <row r="811" customFormat="false" ht="15" hidden="false" customHeight="false" outlineLevel="0" collapsed="false">
      <c r="A811" s="0" t="s">
        <v>842</v>
      </c>
      <c r="B811" s="2" t="n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P811" s="0" t="n">
        <v>61.9</v>
      </c>
    </row>
    <row r="812" customFormat="false" ht="15" hidden="false" customHeight="false" outlineLevel="0" collapsed="false">
      <c r="A812" s="0" t="s">
        <v>843</v>
      </c>
      <c r="B812" s="2" t="n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0</v>
      </c>
      <c r="P812" s="0" t="n">
        <v>58.7</v>
      </c>
    </row>
    <row r="813" customFormat="false" ht="15" hidden="false" customHeight="false" outlineLevel="0" collapsed="false">
      <c r="A813" s="0" t="s">
        <v>844</v>
      </c>
      <c r="B813" s="2" t="n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0" t="n">
        <v>1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P813" s="0" t="n">
        <v>69.6</v>
      </c>
    </row>
    <row r="814" customFormat="false" ht="15" hidden="false" customHeight="false" outlineLevel="0" collapsed="false">
      <c r="A814" s="0" t="s">
        <v>845</v>
      </c>
      <c r="B814" s="2" t="n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0" t="n">
        <v>1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P814" s="0" t="n">
        <v>51.5</v>
      </c>
    </row>
    <row r="815" customFormat="false" ht="15" hidden="false" customHeight="false" outlineLevel="0" collapsed="false">
      <c r="A815" s="0" t="s">
        <v>846</v>
      </c>
      <c r="B815" s="2" t="n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0" t="n">
        <v>1</v>
      </c>
      <c r="I815" s="0" t="n">
        <v>1</v>
      </c>
      <c r="J815" s="0" t="n">
        <v>1</v>
      </c>
      <c r="K815" s="0" t="n">
        <v>1</v>
      </c>
      <c r="L815" s="0" t="n">
        <v>277.69</v>
      </c>
      <c r="M815" s="0" t="n">
        <v>3</v>
      </c>
      <c r="N815" s="0" t="n">
        <v>0</v>
      </c>
      <c r="O815" s="0" t="n">
        <v>8</v>
      </c>
      <c r="P815" s="0" t="n">
        <v>46</v>
      </c>
    </row>
    <row r="816" customFormat="false" ht="15" hidden="false" customHeight="false" outlineLevel="0" collapsed="false">
      <c r="A816" s="0" t="s">
        <v>847</v>
      </c>
      <c r="B816" s="2" t="n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0" t="n">
        <v>1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P816" s="0" t="n">
        <v>81.7</v>
      </c>
    </row>
    <row r="817" customFormat="false" ht="15" hidden="false" customHeight="false" outlineLevel="0" collapsed="false">
      <c r="A817" s="0" t="s">
        <v>848</v>
      </c>
      <c r="B817" s="2" t="n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0" t="n">
        <v>1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P817" s="0" t="n">
        <v>48.3</v>
      </c>
    </row>
    <row r="818" customFormat="false" ht="15" hidden="false" customHeight="false" outlineLevel="0" collapsed="false">
      <c r="A818" s="0" t="s">
        <v>849</v>
      </c>
      <c r="B818" s="2" t="n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0" t="n">
        <v>1</v>
      </c>
      <c r="I818" s="0" t="n">
        <v>1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P818" s="0" t="n">
        <v>85.6</v>
      </c>
    </row>
    <row r="819" customFormat="false" ht="15" hidden="false" customHeight="false" outlineLevel="0" collapsed="false">
      <c r="A819" s="0" t="s">
        <v>850</v>
      </c>
      <c r="B819" s="2" t="n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0" t="n">
        <v>1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P819" s="0" t="n">
        <v>53.8</v>
      </c>
    </row>
    <row r="820" customFormat="false" ht="15" hidden="false" customHeight="false" outlineLevel="0" collapsed="false">
      <c r="A820" s="0" t="s">
        <v>851</v>
      </c>
      <c r="B820" s="2" t="n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0" t="n">
        <v>1</v>
      </c>
      <c r="I820" s="0" t="n">
        <v>1</v>
      </c>
      <c r="J820" s="0" t="n">
        <v>1</v>
      </c>
      <c r="K820" s="0" t="n">
        <v>1</v>
      </c>
      <c r="L820" s="0" t="n">
        <v>460.83</v>
      </c>
      <c r="M820" s="0" t="n">
        <v>2</v>
      </c>
      <c r="N820" s="0" t="n">
        <v>0</v>
      </c>
      <c r="O820" s="0" t="n">
        <v>0</v>
      </c>
      <c r="P820" s="0" t="n">
        <v>69.7</v>
      </c>
    </row>
    <row r="821" customFormat="false" ht="15" hidden="false" customHeight="false" outlineLevel="0" collapsed="false">
      <c r="A821" s="0" t="s">
        <v>852</v>
      </c>
      <c r="B821" s="2" t="n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0" t="n">
        <v>1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P821" s="0" t="n">
        <v>74.8</v>
      </c>
    </row>
    <row r="822" customFormat="false" ht="15" hidden="false" customHeight="false" outlineLevel="0" collapsed="false">
      <c r="A822" s="0" t="s">
        <v>853</v>
      </c>
      <c r="B822" s="2" t="n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P822" s="0" t="n">
        <v>87.9</v>
      </c>
    </row>
    <row r="823" customFormat="false" ht="15" hidden="false" customHeight="false" outlineLevel="0" collapsed="false">
      <c r="A823" s="0" t="s">
        <v>854</v>
      </c>
      <c r="B823" s="2" t="n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0" t="n">
        <v>1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0</v>
      </c>
      <c r="P823" s="0" t="n">
        <v>49.1</v>
      </c>
    </row>
    <row r="824" customFormat="false" ht="15" hidden="false" customHeight="false" outlineLevel="0" collapsed="false">
      <c r="A824" s="0" t="s">
        <v>855</v>
      </c>
      <c r="B824" s="2" t="n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0" t="n">
        <v>1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2</v>
      </c>
      <c r="N824" s="0" t="n">
        <v>0</v>
      </c>
      <c r="P824" s="0" t="n">
        <v>73</v>
      </c>
    </row>
    <row r="825" customFormat="false" ht="15" hidden="false" customHeight="false" outlineLevel="0" collapsed="false">
      <c r="A825" s="0" t="s">
        <v>856</v>
      </c>
      <c r="B825" s="2" t="n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P825" s="0" t="n">
        <v>79.5</v>
      </c>
    </row>
    <row r="826" customFormat="false" ht="15" hidden="false" customHeight="false" outlineLevel="0" collapsed="false">
      <c r="A826" s="0" t="s">
        <v>857</v>
      </c>
      <c r="B826" s="2" t="n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0" t="n">
        <v>1</v>
      </c>
      <c r="I826" s="0" t="n">
        <v>1</v>
      </c>
      <c r="J826" s="0" t="n">
        <v>1</v>
      </c>
      <c r="K826" s="0" t="n">
        <v>1</v>
      </c>
      <c r="L826" s="0" t="n">
        <v>782.23</v>
      </c>
      <c r="M826" s="0" t="n">
        <v>1</v>
      </c>
      <c r="N826" s="0" t="n">
        <v>0</v>
      </c>
      <c r="O826" s="0" t="n">
        <v>6</v>
      </c>
      <c r="P826" s="0" t="n">
        <v>93.2</v>
      </c>
    </row>
    <row r="827" customFormat="false" ht="15" hidden="false" customHeight="false" outlineLevel="0" collapsed="false">
      <c r="A827" s="0" t="s">
        <v>858</v>
      </c>
      <c r="B827" s="2" t="n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0" t="n">
        <v>1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3</v>
      </c>
      <c r="N827" s="0" t="n">
        <v>0</v>
      </c>
      <c r="P827" s="0" t="n">
        <v>77.5</v>
      </c>
    </row>
    <row r="828" customFormat="false" ht="15" hidden="false" customHeight="false" outlineLevel="0" collapsed="false">
      <c r="A828" s="0" t="s">
        <v>859</v>
      </c>
      <c r="B828" s="2" t="n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0" t="n">
        <v>1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P828" s="0" t="n">
        <v>61</v>
      </c>
    </row>
    <row r="829" customFormat="false" ht="15" hidden="false" customHeight="false" outlineLevel="0" collapsed="false">
      <c r="A829" s="0" t="s">
        <v>860</v>
      </c>
      <c r="B829" s="2" t="n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0" t="n">
        <v>1</v>
      </c>
      <c r="I829" s="0" t="n">
        <v>1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P829" s="0" t="n">
        <v>64.9</v>
      </c>
    </row>
    <row r="830" customFormat="false" ht="15" hidden="false" customHeight="false" outlineLevel="0" collapsed="false">
      <c r="A830" s="0" t="s">
        <v>861</v>
      </c>
      <c r="B830" s="2" t="n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0" t="n">
        <v>1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P830" s="0" t="n">
        <v>87.5</v>
      </c>
    </row>
    <row r="831" customFormat="false" ht="15" hidden="false" customHeight="false" outlineLevel="0" collapsed="false">
      <c r="A831" s="0" t="s">
        <v>862</v>
      </c>
      <c r="B831" s="2" t="n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0" t="n">
        <v>1</v>
      </c>
      <c r="I831" s="0" t="n">
        <v>1</v>
      </c>
      <c r="J831" s="0" t="n">
        <v>1</v>
      </c>
      <c r="K831" s="0" t="n">
        <v>1</v>
      </c>
      <c r="L831" s="0" t="n">
        <v>1171.99</v>
      </c>
      <c r="M831" s="0" t="n">
        <v>0</v>
      </c>
      <c r="N831" s="0" t="n">
        <v>0</v>
      </c>
      <c r="O831" s="0" t="n">
        <v>5</v>
      </c>
      <c r="P831" s="0" t="n">
        <v>80.6</v>
      </c>
    </row>
    <row r="832" customFormat="false" ht="15" hidden="false" customHeight="false" outlineLevel="0" collapsed="false">
      <c r="A832" s="0" t="s">
        <v>863</v>
      </c>
      <c r="B832" s="2" t="n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0" t="n">
        <v>1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P832" s="0" t="n">
        <v>66.9</v>
      </c>
    </row>
    <row r="833" customFormat="false" ht="15" hidden="false" customHeight="false" outlineLevel="0" collapsed="false">
      <c r="A833" s="0" t="s">
        <v>864</v>
      </c>
      <c r="B833" s="2" t="n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0" t="n">
        <v>1</v>
      </c>
      <c r="I833" s="0" t="n">
        <v>1</v>
      </c>
      <c r="J833" s="0" t="n">
        <v>1</v>
      </c>
      <c r="K833" s="0" t="n">
        <v>0</v>
      </c>
      <c r="L833" s="0" t="n">
        <v>0</v>
      </c>
      <c r="M833" s="0" t="n">
        <v>0</v>
      </c>
      <c r="N833" s="0" t="n">
        <v>0</v>
      </c>
      <c r="P833" s="0" t="n">
        <v>58.8</v>
      </c>
    </row>
    <row r="834" customFormat="false" ht="15" hidden="false" customHeight="false" outlineLevel="0" collapsed="false">
      <c r="A834" s="0" t="s">
        <v>865</v>
      </c>
      <c r="B834" s="2" t="n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0" t="n">
        <v>1</v>
      </c>
      <c r="I834" s="0" t="n">
        <v>1</v>
      </c>
      <c r="J834" s="0" t="n">
        <v>1</v>
      </c>
      <c r="K834" s="0" t="n">
        <v>1</v>
      </c>
      <c r="L834" s="0" t="n">
        <v>1010.4</v>
      </c>
      <c r="M834" s="0" t="n">
        <v>0</v>
      </c>
      <c r="N834" s="0" t="n">
        <v>0</v>
      </c>
      <c r="O834" s="0" t="n">
        <v>4</v>
      </c>
      <c r="P834" s="0" t="n">
        <v>42.9</v>
      </c>
    </row>
    <row r="835" customFormat="false" ht="15" hidden="false" customHeight="false" outlineLevel="0" collapsed="false">
      <c r="A835" s="0" t="s">
        <v>866</v>
      </c>
      <c r="B835" s="2" t="n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0" t="n">
        <v>1</v>
      </c>
      <c r="I835" s="0" t="n">
        <v>1</v>
      </c>
      <c r="J835" s="0" t="n">
        <v>1</v>
      </c>
      <c r="K835" s="0" t="n">
        <v>0</v>
      </c>
      <c r="L835" s="0" t="n">
        <v>0</v>
      </c>
      <c r="M835" s="0" t="n">
        <v>1</v>
      </c>
      <c r="N835" s="0" t="n">
        <v>0</v>
      </c>
      <c r="P835" s="0" t="n">
        <v>60.2</v>
      </c>
    </row>
    <row r="836" customFormat="false" ht="15" hidden="false" customHeight="false" outlineLevel="0" collapsed="false">
      <c r="A836" s="0" t="s">
        <v>867</v>
      </c>
      <c r="B836" s="2" t="n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0" t="n">
        <v>1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P836" s="0" t="n">
        <v>42.7</v>
      </c>
    </row>
    <row r="837" customFormat="false" ht="15" hidden="false" customHeight="false" outlineLevel="0" collapsed="false">
      <c r="A837" s="0" t="s">
        <v>868</v>
      </c>
      <c r="B837" s="2" t="n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0" t="n">
        <v>1</v>
      </c>
      <c r="I837" s="0" t="n">
        <v>1</v>
      </c>
      <c r="J837" s="0" t="n">
        <v>1</v>
      </c>
      <c r="K837" s="0" t="n">
        <v>1</v>
      </c>
      <c r="L837" s="0" t="n">
        <v>431.27</v>
      </c>
      <c r="M837" s="0" t="n">
        <v>0</v>
      </c>
      <c r="N837" s="0" t="n">
        <v>0</v>
      </c>
      <c r="O837" s="0" t="n">
        <v>7</v>
      </c>
      <c r="P837" s="0" t="n">
        <v>60.8</v>
      </c>
    </row>
    <row r="838" customFormat="false" ht="15" hidden="false" customHeight="false" outlineLevel="0" collapsed="false">
      <c r="A838" s="0" t="s">
        <v>869</v>
      </c>
      <c r="B838" s="2" t="n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0" t="n">
        <v>1</v>
      </c>
      <c r="I838" s="0" t="n">
        <v>1</v>
      </c>
      <c r="J838" s="0" t="n">
        <v>1</v>
      </c>
      <c r="K838" s="0" t="n">
        <v>1</v>
      </c>
      <c r="L838" s="0" t="n">
        <v>428.8</v>
      </c>
      <c r="M838" s="0" t="n">
        <v>0</v>
      </c>
      <c r="N838" s="0" t="n">
        <v>0</v>
      </c>
      <c r="O838" s="0" t="n">
        <v>9</v>
      </c>
      <c r="P838" s="0" t="n">
        <v>79.3</v>
      </c>
    </row>
    <row r="839" customFormat="false" ht="15" hidden="false" customHeight="false" outlineLevel="0" collapsed="false">
      <c r="A839" s="0" t="s">
        <v>870</v>
      </c>
      <c r="B839" s="2" t="n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0" t="n">
        <v>1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0</v>
      </c>
      <c r="P839" s="0" t="n">
        <v>88.6</v>
      </c>
    </row>
    <row r="840" customFormat="false" ht="15" hidden="false" customHeight="false" outlineLevel="0" collapsed="false">
      <c r="A840" s="0" t="s">
        <v>871</v>
      </c>
      <c r="B840" s="2" t="n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0" t="n">
        <v>1</v>
      </c>
      <c r="I840" s="0" t="n">
        <v>1</v>
      </c>
      <c r="J840" s="0" t="n">
        <v>1</v>
      </c>
      <c r="K840" s="0" t="n">
        <v>0</v>
      </c>
      <c r="L840" s="0" t="n">
        <v>0</v>
      </c>
      <c r="M840" s="0" t="n">
        <v>0</v>
      </c>
      <c r="N840" s="0" t="n">
        <v>0</v>
      </c>
      <c r="P840" s="0" t="n">
        <v>63.1</v>
      </c>
    </row>
    <row r="841" customFormat="false" ht="15" hidden="false" customHeight="false" outlineLevel="0" collapsed="false">
      <c r="A841" s="0" t="s">
        <v>872</v>
      </c>
      <c r="B841" s="2" t="n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0" t="n">
        <v>1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P841" s="0" t="n">
        <v>39.7</v>
      </c>
    </row>
    <row r="842" customFormat="false" ht="15" hidden="false" customHeight="false" outlineLevel="0" collapsed="false">
      <c r="A842" s="0" t="s">
        <v>873</v>
      </c>
      <c r="B842" s="2" t="n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P842" s="0" t="n">
        <v>67.2</v>
      </c>
    </row>
    <row r="843" customFormat="false" ht="15" hidden="false" customHeight="false" outlineLevel="0" collapsed="false">
      <c r="A843" s="0" t="s">
        <v>874</v>
      </c>
      <c r="B843" s="2" t="n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0" t="n">
        <v>1</v>
      </c>
      <c r="I843" s="0" t="n">
        <v>1</v>
      </c>
      <c r="J843" s="0" t="n">
        <v>1</v>
      </c>
      <c r="K843" s="0" t="n">
        <v>0</v>
      </c>
      <c r="L843" s="0" t="n">
        <v>0</v>
      </c>
      <c r="M843" s="0" t="n">
        <v>0</v>
      </c>
      <c r="N843" s="0" t="n">
        <v>0</v>
      </c>
      <c r="P843" s="0" t="n">
        <v>62.3</v>
      </c>
    </row>
    <row r="844" customFormat="false" ht="15" hidden="false" customHeight="false" outlineLevel="0" collapsed="false">
      <c r="A844" s="0" t="s">
        <v>875</v>
      </c>
      <c r="B844" s="2" t="n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0" t="n">
        <v>1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 customFormat="false" ht="15" hidden="false" customHeight="false" outlineLevel="0" collapsed="false">
      <c r="A845" s="0" t="s">
        <v>876</v>
      </c>
      <c r="B845" s="2" t="n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P845" s="0" t="n">
        <v>60.7</v>
      </c>
    </row>
    <row r="846" customFormat="false" ht="15" hidden="false" customHeight="false" outlineLevel="0" collapsed="false">
      <c r="A846" s="0" t="s">
        <v>877</v>
      </c>
      <c r="B846" s="2" t="n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0" t="n">
        <v>1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P846" s="0" t="n">
        <v>61.5</v>
      </c>
    </row>
    <row r="847" customFormat="false" ht="15" hidden="false" customHeight="false" outlineLevel="0" collapsed="false">
      <c r="A847" s="0" t="s">
        <v>878</v>
      </c>
      <c r="B847" s="2" t="n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0" t="n">
        <v>1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P847" s="0" t="n">
        <v>75</v>
      </c>
    </row>
    <row r="848" customFormat="false" ht="15" hidden="false" customHeight="false" outlineLevel="0" collapsed="false">
      <c r="A848" s="0" t="s">
        <v>879</v>
      </c>
      <c r="B848" s="2" t="n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0" t="n">
        <v>1</v>
      </c>
      <c r="I848" s="0" t="n">
        <v>1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P848" s="0" t="n">
        <v>51.9</v>
      </c>
    </row>
    <row r="849" customFormat="false" ht="15" hidden="false" customHeight="false" outlineLevel="0" collapsed="false">
      <c r="A849" s="0" t="s">
        <v>880</v>
      </c>
      <c r="B849" s="2" t="n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P849" s="0" t="n">
        <v>34.5</v>
      </c>
    </row>
    <row r="850" customFormat="false" ht="15" hidden="false" customHeight="false" outlineLevel="0" collapsed="false">
      <c r="A850" s="0" t="s">
        <v>881</v>
      </c>
      <c r="B850" s="2" t="n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P850" s="0" t="n">
        <v>54.5</v>
      </c>
    </row>
    <row r="851" customFormat="false" ht="15" hidden="false" customHeight="false" outlineLevel="0" collapsed="false">
      <c r="A851" s="0" t="s">
        <v>882</v>
      </c>
      <c r="B851" s="2" t="n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P851" s="0" t="n">
        <v>46</v>
      </c>
    </row>
    <row r="852" customFormat="false" ht="15" hidden="false" customHeight="false" outlineLevel="0" collapsed="false">
      <c r="A852" s="0" t="s">
        <v>883</v>
      </c>
      <c r="B852" s="2" t="n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0" t="n">
        <v>1</v>
      </c>
      <c r="I852" s="0" t="n">
        <v>1</v>
      </c>
      <c r="J852" s="0" t="n">
        <v>1</v>
      </c>
      <c r="K852" s="0" t="n">
        <v>0</v>
      </c>
      <c r="L852" s="0" t="n">
        <v>0</v>
      </c>
      <c r="M852" s="0" t="n">
        <v>0</v>
      </c>
      <c r="N852" s="0" t="n">
        <v>0</v>
      </c>
      <c r="P852" s="0" t="n">
        <v>88.4</v>
      </c>
    </row>
    <row r="853" customFormat="false" ht="15" hidden="false" customHeight="false" outlineLevel="0" collapsed="false">
      <c r="A853" s="0" t="s">
        <v>884</v>
      </c>
      <c r="B853" s="2" t="n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0" t="n">
        <v>1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P853" s="0" t="n">
        <v>69.5</v>
      </c>
    </row>
    <row r="854" customFormat="false" ht="15" hidden="false" customHeight="false" outlineLevel="0" collapsed="false">
      <c r="A854" s="0" t="s">
        <v>885</v>
      </c>
      <c r="B854" s="2" t="n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0" t="n">
        <v>1</v>
      </c>
      <c r="I854" s="0" t="n">
        <v>1</v>
      </c>
      <c r="J854" s="0" t="n">
        <v>1</v>
      </c>
      <c r="K854" s="0" t="n">
        <v>0</v>
      </c>
      <c r="L854" s="0" t="n">
        <v>0</v>
      </c>
      <c r="M854" s="0" t="n">
        <v>0</v>
      </c>
      <c r="N854" s="0" t="n">
        <v>0</v>
      </c>
      <c r="P854" s="0" t="n">
        <v>74.2</v>
      </c>
    </row>
    <row r="855" customFormat="false" ht="15" hidden="false" customHeight="false" outlineLevel="0" collapsed="false">
      <c r="A855" s="0" t="s">
        <v>886</v>
      </c>
      <c r="B855" s="2" t="n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0" t="n">
        <v>1</v>
      </c>
      <c r="I855" s="0" t="n">
        <v>1</v>
      </c>
      <c r="J855" s="0" t="n">
        <v>1</v>
      </c>
      <c r="K855" s="0" t="n">
        <v>0</v>
      </c>
      <c r="L855" s="0" t="n">
        <v>0</v>
      </c>
      <c r="M855" s="0" t="n">
        <v>0</v>
      </c>
      <c r="N855" s="0" t="n">
        <v>0</v>
      </c>
      <c r="P855" s="0" t="n">
        <v>72.1</v>
      </c>
    </row>
    <row r="856" customFormat="false" ht="15" hidden="false" customHeight="false" outlineLevel="0" collapsed="false">
      <c r="A856" s="0" t="s">
        <v>887</v>
      </c>
      <c r="B856" s="2" t="n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0" t="n">
        <v>1</v>
      </c>
      <c r="I856" s="0" t="n">
        <v>1</v>
      </c>
      <c r="J856" s="0" t="n">
        <v>1</v>
      </c>
      <c r="K856" s="0" t="n">
        <v>1</v>
      </c>
      <c r="L856" s="0" t="n">
        <v>398.33</v>
      </c>
      <c r="M856" s="0" t="n">
        <v>0</v>
      </c>
      <c r="N856" s="0" t="n">
        <v>0</v>
      </c>
      <c r="O856" s="0" t="n">
        <v>5</v>
      </c>
      <c r="P856" s="0" t="n">
        <v>85.1</v>
      </c>
    </row>
    <row r="857" customFormat="false" ht="15" hidden="false" customHeight="false" outlineLevel="0" collapsed="false">
      <c r="A857" s="0" t="s">
        <v>888</v>
      </c>
      <c r="B857" s="2" t="n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0" t="n">
        <v>1</v>
      </c>
      <c r="I857" s="0" t="n">
        <v>1</v>
      </c>
      <c r="J857" s="0" t="n">
        <v>1</v>
      </c>
      <c r="K857" s="0" t="n">
        <v>0</v>
      </c>
      <c r="L857" s="0" t="n">
        <v>0</v>
      </c>
      <c r="M857" s="0" t="n">
        <v>0</v>
      </c>
      <c r="N857" s="0" t="n">
        <v>0</v>
      </c>
      <c r="P857" s="0" t="n">
        <v>49.5</v>
      </c>
    </row>
    <row r="858" customFormat="false" ht="15" hidden="false" customHeight="false" outlineLevel="0" collapsed="false">
      <c r="A858" s="0" t="s">
        <v>889</v>
      </c>
      <c r="B858" s="2" t="n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0</v>
      </c>
      <c r="P858" s="0" t="n">
        <v>79</v>
      </c>
    </row>
    <row r="859" customFormat="false" ht="15" hidden="false" customHeight="false" outlineLevel="0" collapsed="false">
      <c r="A859" s="0" t="s">
        <v>890</v>
      </c>
      <c r="B859" s="2" t="n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P859" s="0" t="n">
        <v>71.8</v>
      </c>
    </row>
    <row r="860" customFormat="false" ht="15" hidden="false" customHeight="false" outlineLevel="0" collapsed="false">
      <c r="A860" s="0" t="s">
        <v>891</v>
      </c>
      <c r="B860" s="2" t="n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0" t="n">
        <v>1</v>
      </c>
      <c r="I860" s="0" t="n">
        <v>1</v>
      </c>
      <c r="J860" s="0" t="n">
        <v>1</v>
      </c>
      <c r="K860" s="0" t="n">
        <v>1</v>
      </c>
      <c r="L860" s="0" t="n">
        <v>1117.54</v>
      </c>
      <c r="M860" s="0" t="n">
        <v>0</v>
      </c>
      <c r="N860" s="0" t="n">
        <v>0</v>
      </c>
      <c r="O860" s="0" t="n">
        <v>6</v>
      </c>
      <c r="P860" s="0" t="n">
        <v>60.4</v>
      </c>
    </row>
    <row r="861" customFormat="false" ht="15" hidden="false" customHeight="false" outlineLevel="0" collapsed="false">
      <c r="A861" s="0" t="s">
        <v>892</v>
      </c>
      <c r="B861" s="2" t="n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0" t="n">
        <v>1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2</v>
      </c>
      <c r="N861" s="0" t="n">
        <v>0</v>
      </c>
      <c r="P861" s="0" t="n">
        <v>38.3</v>
      </c>
    </row>
    <row r="862" customFormat="false" ht="15" hidden="false" customHeight="false" outlineLevel="0" collapsed="false">
      <c r="A862" s="0" t="s">
        <v>893</v>
      </c>
      <c r="B862" s="2" t="n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0" t="n">
        <v>1</v>
      </c>
      <c r="I862" s="0" t="n">
        <v>1</v>
      </c>
      <c r="J862" s="0" t="n">
        <v>1</v>
      </c>
      <c r="K862" s="0" t="n">
        <v>0</v>
      </c>
      <c r="L862" s="0" t="n">
        <v>0</v>
      </c>
      <c r="M862" s="0" t="n">
        <v>0</v>
      </c>
      <c r="N862" s="0" t="n">
        <v>0</v>
      </c>
      <c r="P862" s="0" t="n">
        <v>79.6</v>
      </c>
    </row>
    <row r="863" customFormat="false" ht="15" hidden="false" customHeight="false" outlineLevel="0" collapsed="false">
      <c r="A863" s="0" t="s">
        <v>894</v>
      </c>
      <c r="B863" s="2" t="n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0" t="n">
        <v>1</v>
      </c>
      <c r="I863" s="0" t="n">
        <v>1</v>
      </c>
      <c r="J863" s="0" t="n">
        <v>1</v>
      </c>
      <c r="K863" s="0" t="n">
        <v>0</v>
      </c>
      <c r="L863" s="0" t="n">
        <v>0</v>
      </c>
      <c r="M863" s="0" t="n">
        <v>0</v>
      </c>
      <c r="N863" s="0" t="n">
        <v>0</v>
      </c>
      <c r="P863" s="0" t="n">
        <v>71.9</v>
      </c>
    </row>
    <row r="864" customFormat="false" ht="15" hidden="false" customHeight="false" outlineLevel="0" collapsed="false">
      <c r="A864" s="0" t="s">
        <v>895</v>
      </c>
      <c r="B864" s="2" t="n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0" t="n">
        <v>1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P864" s="0" t="n">
        <v>54.6</v>
      </c>
    </row>
    <row r="865" customFormat="false" ht="15" hidden="false" customHeight="false" outlineLevel="0" collapsed="false">
      <c r="A865" s="0" t="s">
        <v>896</v>
      </c>
      <c r="B865" s="2" t="n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0" t="n">
        <v>1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3</v>
      </c>
      <c r="N865" s="0" t="n">
        <v>0</v>
      </c>
      <c r="P865" s="0" t="n">
        <v>49.3</v>
      </c>
    </row>
    <row r="866" customFormat="false" ht="15" hidden="false" customHeight="false" outlineLevel="0" collapsed="false">
      <c r="A866" s="0" t="s">
        <v>897</v>
      </c>
      <c r="B866" s="2" t="n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0</v>
      </c>
      <c r="P866" s="0" t="n">
        <v>66.9</v>
      </c>
    </row>
    <row r="867" customFormat="false" ht="15" hidden="false" customHeight="false" outlineLevel="0" collapsed="false">
      <c r="A867" s="0" t="s">
        <v>898</v>
      </c>
      <c r="B867" s="2" t="n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0" t="n">
        <v>1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0</v>
      </c>
      <c r="P867" s="0" t="n">
        <v>77.8</v>
      </c>
    </row>
    <row r="868" customFormat="false" ht="15" hidden="false" customHeight="false" outlineLevel="0" collapsed="false">
      <c r="A868" s="0" t="s">
        <v>899</v>
      </c>
      <c r="B868" s="2" t="n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0" t="n">
        <v>1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P868" s="0" t="n">
        <v>63</v>
      </c>
    </row>
    <row r="869" customFormat="false" ht="15" hidden="false" customHeight="false" outlineLevel="0" collapsed="false">
      <c r="A869" s="0" t="s">
        <v>900</v>
      </c>
      <c r="B869" s="2" t="n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P869" s="0" t="n">
        <v>79.8</v>
      </c>
    </row>
    <row r="870" customFormat="false" ht="15" hidden="false" customHeight="false" outlineLevel="0" collapsed="false">
      <c r="A870" s="0" t="s">
        <v>901</v>
      </c>
      <c r="B870" s="2" t="n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P870" s="0" t="n">
        <v>69.9</v>
      </c>
    </row>
    <row r="871" customFormat="false" ht="15" hidden="false" customHeight="false" outlineLevel="0" collapsed="false">
      <c r="A871" s="0" t="s">
        <v>902</v>
      </c>
      <c r="B871" s="2" t="n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0</v>
      </c>
      <c r="P871" s="0" t="n">
        <v>66.4</v>
      </c>
    </row>
    <row r="872" customFormat="false" ht="15" hidden="false" customHeight="false" outlineLevel="0" collapsed="false">
      <c r="A872" s="0" t="s">
        <v>903</v>
      </c>
      <c r="B872" s="2" t="n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0" t="n">
        <v>1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P872" s="0" t="n">
        <v>27.6</v>
      </c>
    </row>
    <row r="873" customFormat="false" ht="15" hidden="false" customHeight="false" outlineLevel="0" collapsed="false">
      <c r="A873" s="0" t="s">
        <v>904</v>
      </c>
      <c r="B873" s="2" t="n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0" t="n">
        <v>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0</v>
      </c>
      <c r="P873" s="0" t="n">
        <v>56.5</v>
      </c>
    </row>
    <row r="874" customFormat="false" ht="15" hidden="false" customHeight="false" outlineLevel="0" collapsed="false">
      <c r="A874" s="0" t="s">
        <v>905</v>
      </c>
      <c r="B874" s="2" t="n">
        <v>45769</v>
      </c>
      <c r="C874" s="3" t="s">
        <v>723</v>
      </c>
      <c r="D874" s="3" t="s">
        <v>23</v>
      </c>
      <c r="F874" s="3" t="s">
        <v>41</v>
      </c>
      <c r="G874" s="3" t="s">
        <v>26</v>
      </c>
      <c r="H874" s="0" t="n">
        <v>1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P874" s="0" t="n">
        <v>67.8</v>
      </c>
    </row>
    <row r="875" customFormat="false" ht="15" hidden="false" customHeight="false" outlineLevel="0" collapsed="false">
      <c r="A875" s="0" t="s">
        <v>906</v>
      </c>
      <c r="B875" s="2" t="n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0" t="n">
        <v>1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P875" s="0" t="n">
        <v>80</v>
      </c>
    </row>
    <row r="876" customFormat="false" ht="15" hidden="false" customHeight="false" outlineLevel="0" collapsed="false">
      <c r="A876" s="0" t="s">
        <v>907</v>
      </c>
      <c r="B876" s="2" t="n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0" t="n">
        <v>1</v>
      </c>
      <c r="I876" s="0" t="n">
        <v>1</v>
      </c>
      <c r="J876" s="0" t="n">
        <v>1</v>
      </c>
      <c r="K876" s="0" t="n">
        <v>0</v>
      </c>
      <c r="L876" s="0" t="n">
        <v>0</v>
      </c>
      <c r="M876" s="0" t="n">
        <v>1</v>
      </c>
      <c r="N876" s="0" t="n">
        <v>0</v>
      </c>
      <c r="P876" s="0" t="n">
        <v>80.9</v>
      </c>
    </row>
    <row r="877" customFormat="false" ht="15" hidden="false" customHeight="false" outlineLevel="0" collapsed="false">
      <c r="A877" s="0" t="s">
        <v>908</v>
      </c>
      <c r="B877" s="2" t="n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P877" s="0" t="n">
        <v>34.5</v>
      </c>
    </row>
    <row r="878" customFormat="false" ht="15" hidden="false" customHeight="false" outlineLevel="0" collapsed="false">
      <c r="A878" s="0" t="s">
        <v>909</v>
      </c>
      <c r="B878" s="2" t="n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0" t="n">
        <v>1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P878" s="0" t="n">
        <v>73.5</v>
      </c>
    </row>
    <row r="879" customFormat="false" ht="15" hidden="false" customHeight="false" outlineLevel="0" collapsed="false">
      <c r="A879" s="0" t="s">
        <v>910</v>
      </c>
      <c r="B879" s="2" t="n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0" t="n">
        <v>1</v>
      </c>
      <c r="I879" s="0" t="n">
        <v>1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P879" s="0" t="n">
        <v>70</v>
      </c>
    </row>
    <row r="880" customFormat="false" ht="15" hidden="false" customHeight="false" outlineLevel="0" collapsed="false">
      <c r="A880" s="0" t="s">
        <v>911</v>
      </c>
      <c r="B880" s="2" t="n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P880" s="0" t="n">
        <v>86.9</v>
      </c>
    </row>
    <row r="881" customFormat="false" ht="15" hidden="false" customHeight="false" outlineLevel="0" collapsed="false">
      <c r="A881" s="0" t="s">
        <v>912</v>
      </c>
      <c r="B881" s="2" t="n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P881" s="0" t="n">
        <v>66.9</v>
      </c>
    </row>
    <row r="882" customFormat="false" ht="15" hidden="false" customHeight="false" outlineLevel="0" collapsed="false">
      <c r="A882" s="0" t="s">
        <v>913</v>
      </c>
      <c r="B882" s="2" t="n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0" t="n">
        <v>1</v>
      </c>
      <c r="I882" s="0" t="n">
        <v>1</v>
      </c>
      <c r="J882" s="0" t="n">
        <v>1</v>
      </c>
      <c r="K882" s="0" t="n">
        <v>0</v>
      </c>
      <c r="L882" s="0" t="n">
        <v>0</v>
      </c>
      <c r="M882" s="0" t="n">
        <v>0</v>
      </c>
      <c r="N882" s="0" t="n">
        <v>0</v>
      </c>
      <c r="P882" s="0" t="n">
        <v>58.3</v>
      </c>
    </row>
    <row r="883" customFormat="false" ht="15" hidden="false" customHeight="false" outlineLevel="0" collapsed="false">
      <c r="A883" s="0" t="s">
        <v>914</v>
      </c>
      <c r="B883" s="2" t="n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0" t="n">
        <v>1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P883" s="0" t="n">
        <v>45</v>
      </c>
    </row>
    <row r="884" customFormat="false" ht="15" hidden="false" customHeight="false" outlineLevel="0" collapsed="false">
      <c r="A884" s="0" t="s">
        <v>915</v>
      </c>
      <c r="B884" s="2" t="n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P884" s="0" t="n">
        <v>60.8</v>
      </c>
    </row>
    <row r="885" customFormat="false" ht="15" hidden="false" customHeight="false" outlineLevel="0" collapsed="false">
      <c r="A885" s="0" t="s">
        <v>916</v>
      </c>
      <c r="B885" s="2" t="n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0" t="n">
        <v>1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4</v>
      </c>
      <c r="N885" s="0" t="n">
        <v>0</v>
      </c>
      <c r="P885" s="0" t="n">
        <v>53.7</v>
      </c>
    </row>
    <row r="886" customFormat="false" ht="15" hidden="false" customHeight="false" outlineLevel="0" collapsed="false">
      <c r="A886" s="0" t="s">
        <v>917</v>
      </c>
      <c r="B886" s="2" t="n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0" t="n">
        <v>1</v>
      </c>
      <c r="I886" s="0" t="n">
        <v>1</v>
      </c>
      <c r="J886" s="0" t="n">
        <v>1</v>
      </c>
      <c r="K886" s="0" t="n">
        <v>0</v>
      </c>
      <c r="L886" s="0" t="n">
        <v>0</v>
      </c>
      <c r="M886" s="0" t="n">
        <v>0</v>
      </c>
      <c r="N886" s="0" t="n">
        <v>0</v>
      </c>
      <c r="P886" s="0" t="n">
        <v>48.8</v>
      </c>
    </row>
    <row r="887" customFormat="false" ht="15" hidden="false" customHeight="false" outlineLevel="0" collapsed="false">
      <c r="A887" s="0" t="s">
        <v>918</v>
      </c>
      <c r="B887" s="2" t="n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P887" s="0" t="n">
        <v>52.9</v>
      </c>
    </row>
    <row r="888" customFormat="false" ht="15" hidden="false" customHeight="false" outlineLevel="0" collapsed="false">
      <c r="A888" s="0" t="s">
        <v>919</v>
      </c>
      <c r="B888" s="2" t="n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0" t="n">
        <v>1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P888" s="0" t="n">
        <v>42.4</v>
      </c>
    </row>
    <row r="889" customFormat="false" ht="15" hidden="false" customHeight="false" outlineLevel="0" collapsed="false">
      <c r="A889" s="0" t="s">
        <v>920</v>
      </c>
      <c r="B889" s="2" t="n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0" t="n">
        <v>1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P889" s="0" t="n">
        <v>58.7</v>
      </c>
    </row>
    <row r="890" customFormat="false" ht="15" hidden="false" customHeight="false" outlineLevel="0" collapsed="false">
      <c r="A890" s="0" t="s">
        <v>921</v>
      </c>
      <c r="B890" s="2" t="n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0" t="n">
        <v>1</v>
      </c>
      <c r="I890" s="0" t="n">
        <v>1</v>
      </c>
      <c r="J890" s="0" t="n">
        <v>1</v>
      </c>
      <c r="K890" s="0" t="n">
        <v>1</v>
      </c>
      <c r="L890" s="0" t="n">
        <v>2064.55</v>
      </c>
      <c r="M890" s="0" t="n">
        <v>0</v>
      </c>
      <c r="N890" s="0" t="n">
        <v>0</v>
      </c>
      <c r="O890" s="0" t="n">
        <v>1</v>
      </c>
      <c r="P890" s="0" t="n">
        <v>67.8</v>
      </c>
    </row>
    <row r="891" customFormat="false" ht="15" hidden="false" customHeight="false" outlineLevel="0" collapsed="false">
      <c r="A891" s="0" t="s">
        <v>922</v>
      </c>
      <c r="B891" s="2" t="n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0" t="n">
        <v>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P891" s="0" t="n">
        <v>62.6</v>
      </c>
    </row>
    <row r="892" customFormat="false" ht="15" hidden="false" customHeight="false" outlineLevel="0" collapsed="false">
      <c r="A892" s="0" t="s">
        <v>923</v>
      </c>
      <c r="B892" s="2" t="n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0" t="n">
        <v>1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P892" s="0" t="n">
        <v>82.4</v>
      </c>
    </row>
    <row r="893" customFormat="false" ht="15" hidden="false" customHeight="false" outlineLevel="0" collapsed="false">
      <c r="A893" s="0" t="s">
        <v>924</v>
      </c>
      <c r="B893" s="2" t="n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0" t="n">
        <v>1</v>
      </c>
      <c r="I893" s="0" t="n">
        <v>1</v>
      </c>
      <c r="J893" s="0" t="n">
        <v>1</v>
      </c>
      <c r="K893" s="0" t="n">
        <v>0</v>
      </c>
      <c r="L893" s="0" t="n">
        <v>0</v>
      </c>
      <c r="M893" s="0" t="n">
        <v>0</v>
      </c>
      <c r="N893" s="0" t="n">
        <v>0</v>
      </c>
      <c r="P893" s="0" t="n">
        <v>50.4</v>
      </c>
    </row>
    <row r="894" customFormat="false" ht="15" hidden="false" customHeight="false" outlineLevel="0" collapsed="false">
      <c r="A894" s="0" t="s">
        <v>925</v>
      </c>
      <c r="B894" s="2" t="n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P894" s="0" t="n">
        <v>68.4</v>
      </c>
    </row>
    <row r="895" customFormat="false" ht="15" hidden="false" customHeight="false" outlineLevel="0" collapsed="false">
      <c r="A895" s="0" t="s">
        <v>926</v>
      </c>
      <c r="B895" s="2" t="n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0" t="n">
        <v>1</v>
      </c>
      <c r="I895" s="0" t="n">
        <v>1</v>
      </c>
      <c r="J895" s="0" t="n">
        <v>1</v>
      </c>
      <c r="K895" s="0" t="n">
        <v>0</v>
      </c>
      <c r="L895" s="0" t="n">
        <v>0</v>
      </c>
      <c r="M895" s="0" t="n">
        <v>0</v>
      </c>
      <c r="N895" s="0" t="n">
        <v>0</v>
      </c>
      <c r="P895" s="0" t="n">
        <v>58.8</v>
      </c>
    </row>
    <row r="896" customFormat="false" ht="15" hidden="false" customHeight="false" outlineLevel="0" collapsed="false">
      <c r="A896" s="0" t="s">
        <v>927</v>
      </c>
      <c r="B896" s="2" t="n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0" t="n">
        <v>1</v>
      </c>
      <c r="I896" s="0" t="n">
        <v>1</v>
      </c>
      <c r="J896" s="0" t="n">
        <v>0</v>
      </c>
      <c r="K896" s="0" t="n">
        <v>0</v>
      </c>
      <c r="L896" s="0" t="n">
        <v>0</v>
      </c>
      <c r="M896" s="0" t="n">
        <v>2</v>
      </c>
      <c r="N896" s="0" t="n">
        <v>0</v>
      </c>
      <c r="P896" s="0" t="n">
        <v>28.3</v>
      </c>
    </row>
    <row r="897" customFormat="false" ht="15" hidden="false" customHeight="false" outlineLevel="0" collapsed="false">
      <c r="A897" s="0" t="s">
        <v>928</v>
      </c>
      <c r="B897" s="2" t="n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0" t="n">
        <v>1</v>
      </c>
      <c r="I897" s="0" t="n">
        <v>1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P897" s="0" t="n">
        <v>44.1</v>
      </c>
    </row>
    <row r="898" customFormat="false" ht="15" hidden="false" customHeight="false" outlineLevel="0" collapsed="false">
      <c r="A898" s="0" t="s">
        <v>929</v>
      </c>
      <c r="B898" s="2" t="n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0" t="n">
        <v>1</v>
      </c>
      <c r="I898" s="0" t="n">
        <v>1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P898" s="0" t="n">
        <v>66.7</v>
      </c>
    </row>
    <row r="899" customFormat="false" ht="15" hidden="false" customHeight="false" outlineLevel="0" collapsed="false">
      <c r="A899" s="0" t="s">
        <v>930</v>
      </c>
      <c r="B899" s="2" t="n">
        <v>45690</v>
      </c>
      <c r="C899" s="3" t="s">
        <v>723</v>
      </c>
      <c r="D899" s="3" t="s">
        <v>32</v>
      </c>
      <c r="E899" s="3" t="s">
        <v>24</v>
      </c>
      <c r="G899" s="3" t="s">
        <v>26</v>
      </c>
      <c r="H899" s="0" t="n">
        <v>1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P899" s="0" t="n">
        <v>100</v>
      </c>
    </row>
    <row r="900" customFormat="false" ht="15" hidden="false" customHeight="false" outlineLevel="0" collapsed="false">
      <c r="A900" s="0" t="s">
        <v>931</v>
      </c>
      <c r="B900" s="2" t="n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0" t="n">
        <v>1</v>
      </c>
      <c r="I900" s="0" t="n">
        <v>1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P900" s="0" t="n">
        <v>87.5</v>
      </c>
    </row>
    <row r="901" customFormat="false" ht="15" hidden="false" customHeight="false" outlineLevel="0" collapsed="false">
      <c r="A901" s="0" t="s">
        <v>932</v>
      </c>
      <c r="B901" s="2" t="n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0" t="n">
        <v>1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2</v>
      </c>
      <c r="N901" s="0" t="n">
        <v>0</v>
      </c>
      <c r="P901" s="0" t="n">
        <v>65.4</v>
      </c>
    </row>
    <row r="902" customFormat="false" ht="15" hidden="false" customHeight="false" outlineLevel="0" collapsed="false">
      <c r="A902" s="0" t="s">
        <v>933</v>
      </c>
      <c r="B902" s="2" t="n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0" t="n">
        <v>1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P902" s="0" t="n">
        <v>22.9</v>
      </c>
    </row>
    <row r="903" customFormat="false" ht="15" hidden="false" customHeight="false" outlineLevel="0" collapsed="false">
      <c r="A903" s="0" t="s">
        <v>934</v>
      </c>
      <c r="B903" s="2" t="n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P903" s="0" t="n">
        <v>64.6</v>
      </c>
    </row>
    <row r="904" customFormat="false" ht="15" hidden="false" customHeight="false" outlineLevel="0" collapsed="false">
      <c r="A904" s="0" t="s">
        <v>935</v>
      </c>
      <c r="B904" s="2" t="n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0" t="n">
        <v>1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2</v>
      </c>
      <c r="N904" s="0" t="n">
        <v>0</v>
      </c>
      <c r="P904" s="0" t="n">
        <v>54.4</v>
      </c>
    </row>
    <row r="905" customFormat="false" ht="15" hidden="false" customHeight="false" outlineLevel="0" collapsed="false">
      <c r="A905" s="0" t="s">
        <v>936</v>
      </c>
      <c r="B905" s="2" t="n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0" t="n">
        <v>1</v>
      </c>
      <c r="I905" s="0" t="n">
        <v>1</v>
      </c>
      <c r="J905" s="0" t="n">
        <v>1</v>
      </c>
      <c r="K905" s="0" t="n">
        <v>0</v>
      </c>
      <c r="L905" s="0" t="n">
        <v>0</v>
      </c>
      <c r="M905" s="0" t="n">
        <v>0</v>
      </c>
      <c r="N905" s="0" t="n">
        <v>0</v>
      </c>
      <c r="P905" s="0" t="n">
        <v>56.8</v>
      </c>
    </row>
    <row r="906" customFormat="false" ht="15" hidden="false" customHeight="false" outlineLevel="0" collapsed="false">
      <c r="A906" s="0" t="s">
        <v>937</v>
      </c>
      <c r="B906" s="2" t="n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0" t="n">
        <v>1</v>
      </c>
      <c r="I906" s="0" t="n">
        <v>1</v>
      </c>
      <c r="J906" s="0" t="n">
        <v>1</v>
      </c>
      <c r="K906" s="0" t="n">
        <v>1</v>
      </c>
      <c r="L906" s="0" t="n">
        <v>341.38</v>
      </c>
      <c r="M906" s="0" t="n">
        <v>0</v>
      </c>
      <c r="N906" s="0" t="n">
        <v>0</v>
      </c>
      <c r="O906" s="0" t="n">
        <v>2</v>
      </c>
      <c r="P906" s="0" t="n">
        <v>63.6</v>
      </c>
    </row>
    <row r="907" customFormat="false" ht="15" hidden="false" customHeight="false" outlineLevel="0" collapsed="false">
      <c r="A907" s="0" t="s">
        <v>938</v>
      </c>
      <c r="B907" s="2" t="n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0" t="n">
        <v>1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P907" s="0" t="n">
        <v>58.2</v>
      </c>
    </row>
    <row r="908" customFormat="false" ht="15" hidden="false" customHeight="false" outlineLevel="0" collapsed="false">
      <c r="A908" s="0" t="s">
        <v>939</v>
      </c>
      <c r="B908" s="2" t="n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0" t="n">
        <v>1</v>
      </c>
      <c r="I908" s="0" t="n">
        <v>1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P908" s="0" t="n">
        <v>54.6</v>
      </c>
    </row>
    <row r="909" customFormat="false" ht="15" hidden="false" customHeight="false" outlineLevel="0" collapsed="false">
      <c r="A909" s="0" t="s">
        <v>940</v>
      </c>
      <c r="B909" s="2" t="n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0" t="n">
        <v>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P909" s="0" t="n">
        <v>81.9</v>
      </c>
    </row>
    <row r="910" customFormat="false" ht="15" hidden="false" customHeight="false" outlineLevel="0" collapsed="false">
      <c r="A910" s="0" t="s">
        <v>941</v>
      </c>
      <c r="B910" s="2" t="n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0" t="n">
        <v>1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3</v>
      </c>
      <c r="N910" s="0" t="n">
        <v>0</v>
      </c>
      <c r="P910" s="0" t="n">
        <v>53.3</v>
      </c>
    </row>
    <row r="911" customFormat="false" ht="15" hidden="false" customHeight="false" outlineLevel="0" collapsed="false">
      <c r="A911" s="0" t="s">
        <v>942</v>
      </c>
      <c r="B911" s="2" t="n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P911" s="0" t="n">
        <v>54.2</v>
      </c>
    </row>
    <row r="912" customFormat="false" ht="15" hidden="false" customHeight="false" outlineLevel="0" collapsed="false">
      <c r="A912" s="0" t="s">
        <v>943</v>
      </c>
      <c r="B912" s="2" t="n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0" t="n">
        <v>1</v>
      </c>
      <c r="I912" s="0" t="n">
        <v>1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P912" s="0" t="n">
        <v>65.6</v>
      </c>
    </row>
    <row r="913" customFormat="false" ht="15" hidden="false" customHeight="false" outlineLevel="0" collapsed="false">
      <c r="A913" s="0" t="s">
        <v>944</v>
      </c>
      <c r="B913" s="2" t="n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0" t="n">
        <v>1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0</v>
      </c>
      <c r="P913" s="0" t="n">
        <v>56.5</v>
      </c>
    </row>
    <row r="914" customFormat="false" ht="15" hidden="false" customHeight="false" outlineLevel="0" collapsed="false">
      <c r="A914" s="0" t="s">
        <v>945</v>
      </c>
      <c r="B914" s="2" t="n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0" t="n">
        <v>1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P914" s="0" t="n">
        <v>59.7</v>
      </c>
    </row>
    <row r="915" customFormat="false" ht="15" hidden="false" customHeight="false" outlineLevel="0" collapsed="false">
      <c r="A915" s="0" t="s">
        <v>946</v>
      </c>
      <c r="B915" s="2" t="n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0" t="n">
        <v>1</v>
      </c>
      <c r="I915" s="0" t="n">
        <v>1</v>
      </c>
      <c r="J915" s="0" t="n">
        <v>1</v>
      </c>
      <c r="K915" s="0" t="n">
        <v>0</v>
      </c>
      <c r="L915" s="0" t="n">
        <v>0</v>
      </c>
      <c r="M915" s="0" t="n">
        <v>0</v>
      </c>
      <c r="N915" s="0" t="n">
        <v>0</v>
      </c>
      <c r="P915" s="0" t="n">
        <v>72.5</v>
      </c>
    </row>
    <row r="916" customFormat="false" ht="15" hidden="false" customHeight="false" outlineLevel="0" collapsed="false">
      <c r="A916" s="0" t="s">
        <v>947</v>
      </c>
      <c r="B916" s="2" t="n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0" t="n">
        <v>1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P916" s="0" t="n">
        <v>64.3</v>
      </c>
    </row>
    <row r="917" customFormat="false" ht="15" hidden="false" customHeight="false" outlineLevel="0" collapsed="false">
      <c r="A917" s="0" t="s">
        <v>948</v>
      </c>
      <c r="B917" s="2" t="n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0" t="n">
        <v>1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P917" s="0" t="n">
        <v>64.5</v>
      </c>
    </row>
    <row r="918" customFormat="false" ht="15" hidden="false" customHeight="false" outlineLevel="0" collapsed="false">
      <c r="A918" s="0" t="s">
        <v>949</v>
      </c>
      <c r="B918" s="2" t="n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0" t="n">
        <v>1</v>
      </c>
      <c r="I918" s="0" t="n">
        <v>1</v>
      </c>
      <c r="J918" s="0" t="n">
        <v>1</v>
      </c>
      <c r="K918" s="0" t="n">
        <v>0</v>
      </c>
      <c r="L918" s="0" t="n">
        <v>0</v>
      </c>
      <c r="M918" s="0" t="n">
        <v>0</v>
      </c>
      <c r="N918" s="0" t="n">
        <v>0</v>
      </c>
      <c r="P918" s="0" t="n">
        <v>70.6</v>
      </c>
    </row>
    <row r="919" customFormat="false" ht="15" hidden="false" customHeight="false" outlineLevel="0" collapsed="false">
      <c r="A919" s="0" t="s">
        <v>950</v>
      </c>
      <c r="B919" s="2" t="n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P919" s="0" t="n">
        <v>58.4</v>
      </c>
    </row>
    <row r="920" customFormat="false" ht="15" hidden="false" customHeight="false" outlineLevel="0" collapsed="false">
      <c r="A920" s="0" t="s">
        <v>951</v>
      </c>
      <c r="B920" s="2" t="n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0" t="n">
        <v>1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P920" s="0" t="n">
        <v>56.6</v>
      </c>
    </row>
    <row r="921" customFormat="false" ht="15" hidden="false" customHeight="false" outlineLevel="0" collapsed="false">
      <c r="A921" s="0" t="s">
        <v>952</v>
      </c>
      <c r="B921" s="2" t="n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0" t="n">
        <v>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P921" s="0" t="n">
        <v>61.8</v>
      </c>
    </row>
    <row r="922" customFormat="false" ht="15" hidden="false" customHeight="false" outlineLevel="0" collapsed="false">
      <c r="A922" s="0" t="s">
        <v>953</v>
      </c>
      <c r="B922" s="2" t="n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0" t="n">
        <v>1</v>
      </c>
      <c r="I922" s="0" t="n">
        <v>1</v>
      </c>
      <c r="J922" s="0" t="n">
        <v>1</v>
      </c>
      <c r="K922" s="0" t="n">
        <v>1</v>
      </c>
      <c r="L922" s="0" t="n">
        <v>513.52</v>
      </c>
      <c r="M922" s="0" t="n">
        <v>0</v>
      </c>
      <c r="N922" s="0" t="n">
        <v>0</v>
      </c>
      <c r="O922" s="0" t="n">
        <v>8</v>
      </c>
      <c r="P922" s="0" t="n">
        <v>43.4</v>
      </c>
    </row>
    <row r="923" customFormat="false" ht="15" hidden="false" customHeight="false" outlineLevel="0" collapsed="false">
      <c r="A923" s="0" t="s">
        <v>954</v>
      </c>
      <c r="B923" s="2" t="n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P923" s="0" t="n">
        <v>43</v>
      </c>
    </row>
    <row r="924" customFormat="false" ht="15" hidden="false" customHeight="false" outlineLevel="0" collapsed="false">
      <c r="A924" s="0" t="s">
        <v>955</v>
      </c>
      <c r="B924" s="2" t="n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0" t="n">
        <v>1</v>
      </c>
      <c r="I924" s="0" t="n">
        <v>1</v>
      </c>
      <c r="J924" s="0" t="n">
        <v>1</v>
      </c>
      <c r="K924" s="0" t="n">
        <v>0</v>
      </c>
      <c r="L924" s="0" t="n">
        <v>0</v>
      </c>
      <c r="M924" s="0" t="n">
        <v>0</v>
      </c>
      <c r="N924" s="0" t="n">
        <v>0</v>
      </c>
      <c r="P924" s="0" t="n">
        <v>51.1</v>
      </c>
    </row>
    <row r="925" customFormat="false" ht="15" hidden="false" customHeight="false" outlineLevel="0" collapsed="false">
      <c r="A925" s="0" t="s">
        <v>956</v>
      </c>
      <c r="B925" s="2" t="n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0" t="n">
        <v>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P925" s="0" t="n">
        <v>48.8</v>
      </c>
    </row>
    <row r="926" customFormat="false" ht="15" hidden="false" customHeight="false" outlineLevel="0" collapsed="false">
      <c r="A926" s="0" t="s">
        <v>957</v>
      </c>
      <c r="B926" s="2" t="n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P926" s="0" t="n">
        <v>73.2</v>
      </c>
    </row>
    <row r="927" customFormat="false" ht="15" hidden="false" customHeight="false" outlineLevel="0" collapsed="false">
      <c r="A927" s="0" t="s">
        <v>958</v>
      </c>
      <c r="B927" s="2" t="n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0" t="n">
        <v>1</v>
      </c>
      <c r="I927" s="0" t="n">
        <v>1</v>
      </c>
      <c r="J927" s="0" t="n">
        <v>1</v>
      </c>
      <c r="K927" s="0" t="n">
        <v>0</v>
      </c>
      <c r="L927" s="0" t="n">
        <v>0</v>
      </c>
      <c r="M927" s="0" t="n">
        <v>0</v>
      </c>
      <c r="N927" s="0" t="n">
        <v>0</v>
      </c>
      <c r="P927" s="0" t="n">
        <v>80</v>
      </c>
    </row>
    <row r="928" customFormat="false" ht="15" hidden="false" customHeight="false" outlineLevel="0" collapsed="false">
      <c r="A928" s="0" t="s">
        <v>959</v>
      </c>
      <c r="B928" s="2" t="n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0" t="n">
        <v>1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P928" s="0" t="n">
        <v>52.3</v>
      </c>
    </row>
    <row r="929" customFormat="false" ht="15" hidden="false" customHeight="false" outlineLevel="0" collapsed="false">
      <c r="A929" s="0" t="s">
        <v>960</v>
      </c>
      <c r="B929" s="2" t="n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P929" s="0" t="n">
        <v>49.1</v>
      </c>
    </row>
    <row r="930" customFormat="false" ht="15" hidden="false" customHeight="false" outlineLevel="0" collapsed="false">
      <c r="A930" s="0" t="s">
        <v>961</v>
      </c>
      <c r="B930" s="2" t="n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P930" s="0" t="n">
        <v>45.3</v>
      </c>
    </row>
    <row r="931" customFormat="false" ht="15" hidden="false" customHeight="false" outlineLevel="0" collapsed="false">
      <c r="A931" s="0" t="s">
        <v>962</v>
      </c>
      <c r="B931" s="2" t="n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0" t="n">
        <v>1</v>
      </c>
      <c r="I931" s="0" t="n">
        <v>1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P931" s="0" t="n">
        <v>49.1</v>
      </c>
    </row>
    <row r="932" customFormat="false" ht="15" hidden="false" customHeight="false" outlineLevel="0" collapsed="false">
      <c r="A932" s="0" t="s">
        <v>963</v>
      </c>
      <c r="B932" s="2" t="n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0" t="n">
        <v>1</v>
      </c>
      <c r="I932" s="0" t="n">
        <v>1</v>
      </c>
      <c r="J932" s="0" t="n">
        <v>1</v>
      </c>
      <c r="K932" s="0" t="n">
        <v>1</v>
      </c>
      <c r="L932" s="0" t="n">
        <v>476.44</v>
      </c>
      <c r="M932" s="0" t="n">
        <v>0</v>
      </c>
      <c r="N932" s="0" t="n">
        <v>0</v>
      </c>
      <c r="O932" s="0" t="n">
        <v>3</v>
      </c>
      <c r="P932" s="0" t="n">
        <v>88.6</v>
      </c>
    </row>
    <row r="933" customFormat="false" ht="15" hidden="false" customHeight="false" outlineLevel="0" collapsed="false">
      <c r="A933" s="0" t="s">
        <v>964</v>
      </c>
      <c r="B933" s="2" t="n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0</v>
      </c>
      <c r="P933" s="0" t="n">
        <v>54.4</v>
      </c>
    </row>
    <row r="934" customFormat="false" ht="15" hidden="false" customHeight="false" outlineLevel="0" collapsed="false">
      <c r="A934" s="0" t="s">
        <v>965</v>
      </c>
      <c r="B934" s="2" t="n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0" t="n">
        <v>1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P934" s="0" t="n">
        <v>72.9</v>
      </c>
    </row>
    <row r="935" customFormat="false" ht="15" hidden="false" customHeight="false" outlineLevel="0" collapsed="false">
      <c r="A935" s="0" t="s">
        <v>966</v>
      </c>
      <c r="B935" s="2" t="n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0" t="n">
        <v>1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P935" s="0" t="n">
        <v>53.2</v>
      </c>
    </row>
    <row r="936" customFormat="false" ht="15" hidden="false" customHeight="false" outlineLevel="0" collapsed="false">
      <c r="A936" s="0" t="s">
        <v>967</v>
      </c>
      <c r="B936" s="2" t="n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0" t="n">
        <v>1</v>
      </c>
      <c r="I936" s="0" t="n">
        <v>1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P936" s="0" t="n">
        <v>48.7</v>
      </c>
    </row>
    <row r="937" customFormat="false" ht="15" hidden="false" customHeight="false" outlineLevel="0" collapsed="false">
      <c r="A937" s="0" t="s">
        <v>968</v>
      </c>
      <c r="B937" s="2" t="n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0" t="n">
        <v>1</v>
      </c>
      <c r="I937" s="0" t="n">
        <v>1</v>
      </c>
      <c r="J937" s="0" t="n">
        <v>1</v>
      </c>
      <c r="K937" s="0" t="n">
        <v>0</v>
      </c>
      <c r="L937" s="0" t="n">
        <v>0</v>
      </c>
      <c r="M937" s="0" t="n">
        <v>0</v>
      </c>
      <c r="N937" s="0" t="n">
        <v>0</v>
      </c>
      <c r="P937" s="0" t="n">
        <v>59.9</v>
      </c>
    </row>
    <row r="938" customFormat="false" ht="15" hidden="false" customHeight="false" outlineLevel="0" collapsed="false">
      <c r="A938" s="0" t="s">
        <v>969</v>
      </c>
      <c r="B938" s="2" t="n">
        <v>45798</v>
      </c>
      <c r="C938" s="3" t="s">
        <v>723</v>
      </c>
      <c r="D938" s="3" t="s">
        <v>32</v>
      </c>
      <c r="E938" s="3" t="s">
        <v>19</v>
      </c>
      <c r="G938" s="3" t="s">
        <v>21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P938" s="0" t="n">
        <v>82</v>
      </c>
    </row>
    <row r="939" customFormat="false" ht="15" hidden="false" customHeight="false" outlineLevel="0" collapsed="false">
      <c r="A939" s="0" t="s">
        <v>970</v>
      </c>
      <c r="B939" s="2" t="n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P939" s="0" t="n">
        <v>72.1</v>
      </c>
    </row>
    <row r="940" customFormat="false" ht="15" hidden="false" customHeight="false" outlineLevel="0" collapsed="false">
      <c r="A940" s="0" t="s">
        <v>971</v>
      </c>
      <c r="B940" s="2" t="n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0" t="n">
        <v>1</v>
      </c>
      <c r="I940" s="0" t="n">
        <v>1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P940" s="0" t="n">
        <v>68.3</v>
      </c>
    </row>
    <row r="941" customFormat="false" ht="15" hidden="false" customHeight="false" outlineLevel="0" collapsed="false">
      <c r="A941" s="0" t="s">
        <v>972</v>
      </c>
      <c r="B941" s="2" t="n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P941" s="0" t="n">
        <v>100</v>
      </c>
    </row>
    <row r="942" customFormat="false" ht="15" hidden="false" customHeight="false" outlineLevel="0" collapsed="false">
      <c r="A942" s="0" t="s">
        <v>973</v>
      </c>
      <c r="B942" s="2" t="n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0" t="n">
        <v>1</v>
      </c>
      <c r="I942" s="0" t="n">
        <v>1</v>
      </c>
      <c r="J942" s="0" t="n">
        <v>1</v>
      </c>
      <c r="K942" s="0" t="n">
        <v>0</v>
      </c>
      <c r="L942" s="0" t="n">
        <v>0</v>
      </c>
      <c r="M942" s="0" t="n">
        <v>2</v>
      </c>
      <c r="N942" s="0" t="n">
        <v>0</v>
      </c>
      <c r="P942" s="0" t="n">
        <v>76.5</v>
      </c>
    </row>
    <row r="943" customFormat="false" ht="15" hidden="false" customHeight="false" outlineLevel="0" collapsed="false">
      <c r="A943" s="0" t="s">
        <v>974</v>
      </c>
      <c r="B943" s="2" t="n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0" t="n">
        <v>1</v>
      </c>
      <c r="I943" s="0" t="n">
        <v>1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P943" s="0" t="n">
        <v>62</v>
      </c>
    </row>
    <row r="944" customFormat="false" ht="15" hidden="false" customHeight="false" outlineLevel="0" collapsed="false">
      <c r="A944" s="0" t="s">
        <v>975</v>
      </c>
      <c r="B944" s="2" t="n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0" t="n">
        <v>1</v>
      </c>
      <c r="I944" s="0" t="n">
        <v>1</v>
      </c>
      <c r="J944" s="0" t="n">
        <v>1</v>
      </c>
      <c r="K944" s="0" t="n">
        <v>1</v>
      </c>
      <c r="L944" s="0" t="n">
        <v>324.68</v>
      </c>
      <c r="M944" s="0" t="n">
        <v>1</v>
      </c>
      <c r="N944" s="0" t="n">
        <v>0</v>
      </c>
      <c r="O944" s="0" t="n">
        <v>7</v>
      </c>
      <c r="P944" s="0" t="n">
        <v>50.1</v>
      </c>
    </row>
    <row r="945" customFormat="false" ht="15" hidden="false" customHeight="false" outlineLevel="0" collapsed="false">
      <c r="A945" s="0" t="s">
        <v>976</v>
      </c>
      <c r="B945" s="2" t="n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0" t="n">
        <v>1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P945" s="0" t="n">
        <v>62.1</v>
      </c>
    </row>
    <row r="946" customFormat="false" ht="15" hidden="false" customHeight="false" outlineLevel="0" collapsed="false">
      <c r="A946" s="0" t="s">
        <v>977</v>
      </c>
      <c r="B946" s="2" t="n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0" t="n">
        <v>1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P946" s="0" t="n">
        <v>49.7</v>
      </c>
    </row>
    <row r="947" customFormat="false" ht="15" hidden="false" customHeight="false" outlineLevel="0" collapsed="false">
      <c r="A947" s="0" t="s">
        <v>978</v>
      </c>
      <c r="B947" s="2" t="n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0" t="n">
        <v>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3</v>
      </c>
      <c r="N947" s="0" t="n">
        <v>0</v>
      </c>
      <c r="P947" s="0" t="n">
        <v>71.1</v>
      </c>
    </row>
    <row r="948" customFormat="false" ht="15" hidden="false" customHeight="false" outlineLevel="0" collapsed="false">
      <c r="A948" s="0" t="s">
        <v>979</v>
      </c>
      <c r="B948" s="2" t="n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P948" s="0" t="n">
        <v>70.8</v>
      </c>
    </row>
    <row r="949" customFormat="false" ht="15" hidden="false" customHeight="false" outlineLevel="0" collapsed="false">
      <c r="A949" s="0" t="s">
        <v>980</v>
      </c>
      <c r="B949" s="2" t="n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0" t="n">
        <v>1</v>
      </c>
      <c r="I949" s="0" t="n">
        <v>1</v>
      </c>
      <c r="J949" s="0" t="n">
        <v>1</v>
      </c>
      <c r="K949" s="0" t="n">
        <v>1</v>
      </c>
      <c r="L949" s="0" t="n">
        <v>301.98</v>
      </c>
      <c r="M949" s="0" t="n">
        <v>0</v>
      </c>
      <c r="N949" s="0" t="n">
        <v>0</v>
      </c>
      <c r="O949" s="0" t="n">
        <v>10</v>
      </c>
      <c r="P949" s="0" t="n">
        <v>52.2</v>
      </c>
    </row>
    <row r="950" customFormat="false" ht="15" hidden="false" customHeight="false" outlineLevel="0" collapsed="false">
      <c r="A950" s="0" t="s">
        <v>981</v>
      </c>
      <c r="B950" s="2" t="n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0" t="n">
        <v>1</v>
      </c>
      <c r="I950" s="0" t="n">
        <v>1</v>
      </c>
      <c r="J950" s="0" t="n">
        <v>1</v>
      </c>
      <c r="K950" s="0" t="n">
        <v>0</v>
      </c>
      <c r="L950" s="0" t="n">
        <v>0</v>
      </c>
      <c r="M950" s="0" t="n">
        <v>0</v>
      </c>
      <c r="N950" s="0" t="n">
        <v>0</v>
      </c>
      <c r="P950" s="0" t="n">
        <v>73</v>
      </c>
    </row>
    <row r="951" customFormat="false" ht="15" hidden="false" customHeight="false" outlineLevel="0" collapsed="false">
      <c r="A951" s="0" t="s">
        <v>982</v>
      </c>
      <c r="B951" s="2" t="n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P951" s="0" t="n">
        <v>78.2</v>
      </c>
    </row>
    <row r="952" customFormat="false" ht="15" hidden="false" customHeight="false" outlineLevel="0" collapsed="false">
      <c r="A952" s="0" t="s">
        <v>983</v>
      </c>
      <c r="B952" s="2" t="n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0" t="n">
        <v>1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P952" s="0" t="n">
        <v>68.8</v>
      </c>
    </row>
    <row r="953" customFormat="false" ht="15" hidden="false" customHeight="false" outlineLevel="0" collapsed="false">
      <c r="A953" s="0" t="s">
        <v>984</v>
      </c>
      <c r="B953" s="2" t="n">
        <v>45760</v>
      </c>
      <c r="C953" s="3" t="s">
        <v>723</v>
      </c>
      <c r="D953" s="3" t="s">
        <v>23</v>
      </c>
      <c r="E953" s="3" t="s">
        <v>24</v>
      </c>
      <c r="G953" s="3" t="s">
        <v>30</v>
      </c>
      <c r="H953" s="0" t="n">
        <v>1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P953" s="0" t="n">
        <v>57.1</v>
      </c>
    </row>
    <row r="954" customFormat="false" ht="15" hidden="false" customHeight="false" outlineLevel="0" collapsed="false">
      <c r="A954" s="0" t="s">
        <v>985</v>
      </c>
      <c r="B954" s="2" t="n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0</v>
      </c>
      <c r="P954" s="0" t="n">
        <v>74.6</v>
      </c>
    </row>
    <row r="955" customFormat="false" ht="15" hidden="false" customHeight="false" outlineLevel="0" collapsed="false">
      <c r="A955" s="0" t="s">
        <v>986</v>
      </c>
      <c r="B955" s="2" t="n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0" t="n">
        <v>1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0</v>
      </c>
      <c r="P955" s="0" t="n">
        <v>64.1</v>
      </c>
    </row>
    <row r="956" customFormat="false" ht="15" hidden="false" customHeight="false" outlineLevel="0" collapsed="false">
      <c r="A956" s="0" t="s">
        <v>987</v>
      </c>
      <c r="B956" s="2" t="n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0" t="n">
        <v>1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P956" s="0" t="n">
        <v>67.3</v>
      </c>
    </row>
    <row r="957" customFormat="false" ht="15" hidden="false" customHeight="false" outlineLevel="0" collapsed="false">
      <c r="A957" s="0" t="s">
        <v>988</v>
      </c>
      <c r="B957" s="2" t="n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2</v>
      </c>
      <c r="N957" s="0" t="n">
        <v>0</v>
      </c>
      <c r="P957" s="0" t="n">
        <v>41</v>
      </c>
    </row>
    <row r="958" customFormat="false" ht="15" hidden="false" customHeight="false" outlineLevel="0" collapsed="false">
      <c r="A958" s="0" t="s">
        <v>989</v>
      </c>
      <c r="B958" s="2" t="n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P958" s="0" t="n">
        <v>48.1</v>
      </c>
    </row>
    <row r="959" customFormat="false" ht="15" hidden="false" customHeight="false" outlineLevel="0" collapsed="false">
      <c r="A959" s="0" t="s">
        <v>990</v>
      </c>
      <c r="B959" s="2" t="n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0</v>
      </c>
      <c r="P959" s="0" t="n">
        <v>60.8</v>
      </c>
    </row>
    <row r="960" customFormat="false" ht="15" hidden="false" customHeight="false" outlineLevel="0" collapsed="false">
      <c r="A960" s="0" t="s">
        <v>991</v>
      </c>
      <c r="B960" s="2" t="n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0" t="n">
        <v>1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P960" s="0" t="n">
        <v>63.1</v>
      </c>
    </row>
    <row r="961" customFormat="false" ht="15" hidden="false" customHeight="false" outlineLevel="0" collapsed="false">
      <c r="A961" s="0" t="s">
        <v>992</v>
      </c>
      <c r="B961" s="2" t="n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0" t="n">
        <v>1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2</v>
      </c>
      <c r="N961" s="0" t="n">
        <v>0</v>
      </c>
      <c r="P961" s="0" t="n">
        <v>49.7</v>
      </c>
    </row>
    <row r="962" customFormat="false" ht="15" hidden="false" customHeight="false" outlineLevel="0" collapsed="false">
      <c r="A962" s="0" t="s">
        <v>993</v>
      </c>
      <c r="B962" s="2" t="n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0" t="n">
        <v>1</v>
      </c>
      <c r="I962" s="0" t="n">
        <v>1</v>
      </c>
      <c r="J962" s="0" t="n">
        <v>1</v>
      </c>
      <c r="K962" s="0" t="n">
        <v>0</v>
      </c>
      <c r="L962" s="0" t="n">
        <v>0</v>
      </c>
      <c r="M962" s="0" t="n">
        <v>1</v>
      </c>
      <c r="N962" s="0" t="n">
        <v>0</v>
      </c>
      <c r="P962" s="0" t="n">
        <v>83.4</v>
      </c>
    </row>
    <row r="963" customFormat="false" ht="15" hidden="false" customHeight="false" outlineLevel="0" collapsed="false">
      <c r="A963" s="0" t="s">
        <v>994</v>
      </c>
      <c r="B963" s="2" t="n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0" t="n">
        <v>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P963" s="0" t="n">
        <v>75.9</v>
      </c>
    </row>
    <row r="964" customFormat="false" ht="15" hidden="false" customHeight="false" outlineLevel="0" collapsed="false">
      <c r="A964" s="0" t="s">
        <v>995</v>
      </c>
      <c r="B964" s="2" t="n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0</v>
      </c>
      <c r="P964" s="0" t="n">
        <v>71.8</v>
      </c>
    </row>
    <row r="965" customFormat="false" ht="15" hidden="false" customHeight="false" outlineLevel="0" collapsed="false">
      <c r="A965" s="0" t="s">
        <v>996</v>
      </c>
      <c r="B965" s="2" t="n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P965" s="0" t="n">
        <v>37.9</v>
      </c>
    </row>
    <row r="966" customFormat="false" ht="15" hidden="false" customHeight="false" outlineLevel="0" collapsed="false">
      <c r="A966" s="0" t="s">
        <v>997</v>
      </c>
      <c r="B966" s="2" t="n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0" t="n">
        <v>1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P966" s="0" t="n">
        <v>59.8</v>
      </c>
    </row>
    <row r="967" customFormat="false" ht="15" hidden="false" customHeight="false" outlineLevel="0" collapsed="false">
      <c r="A967" s="0" t="s">
        <v>998</v>
      </c>
      <c r="B967" s="2" t="n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P967" s="0" t="n">
        <v>66.9</v>
      </c>
    </row>
    <row r="968" customFormat="false" ht="15" hidden="false" customHeight="false" outlineLevel="0" collapsed="false">
      <c r="A968" s="0" t="s">
        <v>999</v>
      </c>
      <c r="B968" s="2" t="n">
        <v>45707</v>
      </c>
      <c r="C968" s="3" t="s">
        <v>723</v>
      </c>
      <c r="D968" s="3" t="s">
        <v>32</v>
      </c>
      <c r="E968" s="3" t="s">
        <v>19</v>
      </c>
      <c r="G968" s="3" t="s">
        <v>26</v>
      </c>
      <c r="H968" s="0" t="n">
        <v>1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P968" s="0" t="n">
        <v>59</v>
      </c>
    </row>
    <row r="969" customFormat="false" ht="15" hidden="false" customHeight="false" outlineLevel="0" collapsed="false">
      <c r="A969" s="0" t="s">
        <v>1000</v>
      </c>
      <c r="B969" s="2" t="n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0" t="n">
        <v>1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P969" s="0" t="n">
        <v>80.1</v>
      </c>
    </row>
    <row r="970" customFormat="false" ht="15" hidden="false" customHeight="false" outlineLevel="0" collapsed="false">
      <c r="A970" s="0" t="s">
        <v>1001</v>
      </c>
      <c r="B970" s="2" t="n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P970" s="0" t="n">
        <v>64.3</v>
      </c>
    </row>
    <row r="971" customFormat="false" ht="15" hidden="false" customHeight="false" outlineLevel="0" collapsed="false">
      <c r="A971" s="0" t="s">
        <v>1002</v>
      </c>
      <c r="B971" s="2" t="n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0</v>
      </c>
      <c r="P971" s="0" t="n">
        <v>57.4</v>
      </c>
    </row>
    <row r="972" customFormat="false" ht="15" hidden="false" customHeight="false" outlineLevel="0" collapsed="false">
      <c r="A972" s="0" t="s">
        <v>1003</v>
      </c>
      <c r="B972" s="2" t="n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0" t="n">
        <v>1</v>
      </c>
      <c r="I972" s="0" t="n">
        <v>1</v>
      </c>
      <c r="J972" s="0" t="n">
        <v>1</v>
      </c>
      <c r="K972" s="0" t="n">
        <v>0</v>
      </c>
      <c r="L972" s="0" t="n">
        <v>0</v>
      </c>
      <c r="M972" s="0" t="n">
        <v>0</v>
      </c>
      <c r="N972" s="0" t="n">
        <v>0</v>
      </c>
      <c r="P972" s="0" t="n">
        <v>83.6</v>
      </c>
    </row>
    <row r="973" customFormat="false" ht="15" hidden="false" customHeight="false" outlineLevel="0" collapsed="false">
      <c r="A973" s="0" t="s">
        <v>1004</v>
      </c>
      <c r="B973" s="2" t="n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P973" s="0" t="n">
        <v>45.8</v>
      </c>
    </row>
    <row r="974" customFormat="false" ht="15" hidden="false" customHeight="false" outlineLevel="0" collapsed="false">
      <c r="A974" s="0" t="s">
        <v>1005</v>
      </c>
      <c r="B974" s="2" t="n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0" t="n">
        <v>1</v>
      </c>
      <c r="I974" s="0" t="n">
        <v>1</v>
      </c>
      <c r="J974" s="0" t="n">
        <v>1</v>
      </c>
      <c r="K974" s="0" t="n">
        <v>0</v>
      </c>
      <c r="L974" s="0" t="n">
        <v>0</v>
      </c>
      <c r="M974" s="0" t="n">
        <v>0</v>
      </c>
      <c r="N974" s="0" t="n">
        <v>0</v>
      </c>
      <c r="P974" s="0" t="n">
        <v>64.3</v>
      </c>
    </row>
    <row r="975" customFormat="false" ht="15" hidden="false" customHeight="false" outlineLevel="0" collapsed="false">
      <c r="A975" s="0" t="s">
        <v>1006</v>
      </c>
      <c r="B975" s="2" t="n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0" t="n">
        <v>1</v>
      </c>
      <c r="I975" s="0" t="n">
        <v>1</v>
      </c>
      <c r="J975" s="0" t="n">
        <v>1</v>
      </c>
      <c r="K975" s="0" t="n">
        <v>0</v>
      </c>
      <c r="L975" s="0" t="n">
        <v>0</v>
      </c>
      <c r="M975" s="0" t="n">
        <v>0</v>
      </c>
      <c r="N975" s="0" t="n">
        <v>0</v>
      </c>
      <c r="P975" s="0" t="n">
        <v>80.5</v>
      </c>
    </row>
    <row r="976" customFormat="false" ht="15" hidden="false" customHeight="false" outlineLevel="0" collapsed="false">
      <c r="A976" s="0" t="s">
        <v>1007</v>
      </c>
      <c r="B976" s="2" t="n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0" t="n">
        <v>1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P976" s="0" t="n">
        <v>46.3</v>
      </c>
    </row>
    <row r="977" customFormat="false" ht="15" hidden="false" customHeight="false" outlineLevel="0" collapsed="false">
      <c r="A977" s="0" t="s">
        <v>1008</v>
      </c>
      <c r="B977" s="2" t="n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0" t="n">
        <v>1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P977" s="0" t="n">
        <v>71.6</v>
      </c>
    </row>
    <row r="978" customFormat="false" ht="15" hidden="false" customHeight="false" outlineLevel="0" collapsed="false">
      <c r="A978" s="0" t="s">
        <v>1009</v>
      </c>
      <c r="B978" s="2" t="n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0" t="n">
        <v>1</v>
      </c>
      <c r="I978" s="0" t="n">
        <v>1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P978" s="0" t="n">
        <v>57.8</v>
      </c>
    </row>
    <row r="979" customFormat="false" ht="15" hidden="false" customHeight="false" outlineLevel="0" collapsed="false">
      <c r="A979" s="0" t="s">
        <v>1010</v>
      </c>
      <c r="B979" s="2" t="n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0" t="n">
        <v>1</v>
      </c>
      <c r="I979" s="0" t="n">
        <v>1</v>
      </c>
      <c r="J979" s="0" t="n">
        <v>1</v>
      </c>
      <c r="K979" s="0" t="n">
        <v>0</v>
      </c>
      <c r="L979" s="0" t="n">
        <v>0</v>
      </c>
      <c r="M979" s="0" t="n">
        <v>1</v>
      </c>
      <c r="N979" s="0" t="n">
        <v>0</v>
      </c>
      <c r="P979" s="0" t="n">
        <v>57.8</v>
      </c>
    </row>
    <row r="980" customFormat="false" ht="15" hidden="false" customHeight="false" outlineLevel="0" collapsed="false">
      <c r="A980" s="0" t="s">
        <v>1011</v>
      </c>
      <c r="B980" s="2" t="n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0" t="n">
        <v>1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P980" s="0" t="n">
        <v>38.3</v>
      </c>
    </row>
    <row r="981" customFormat="false" ht="15" hidden="false" customHeight="false" outlineLevel="0" collapsed="false">
      <c r="A981" s="0" t="s">
        <v>1012</v>
      </c>
      <c r="B981" s="2" t="n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0" t="n">
        <v>1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0</v>
      </c>
      <c r="P981" s="0" t="n">
        <v>66.1</v>
      </c>
    </row>
    <row r="982" customFormat="false" ht="15" hidden="false" customHeight="false" outlineLevel="0" collapsed="false">
      <c r="A982" s="0" t="s">
        <v>1013</v>
      </c>
      <c r="B982" s="2" t="n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0" t="n">
        <v>1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P982" s="0" t="n">
        <v>66.5</v>
      </c>
    </row>
    <row r="983" customFormat="false" ht="15" hidden="false" customHeight="false" outlineLevel="0" collapsed="false">
      <c r="A983" s="0" t="s">
        <v>1014</v>
      </c>
      <c r="B983" s="2" t="n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0" t="n">
        <v>1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3</v>
      </c>
      <c r="N983" s="0" t="n">
        <v>0</v>
      </c>
      <c r="P983" s="0" t="n">
        <v>51.5</v>
      </c>
    </row>
    <row r="984" customFormat="false" ht="15" hidden="false" customHeight="false" outlineLevel="0" collapsed="false">
      <c r="A984" s="0" t="s">
        <v>1015</v>
      </c>
      <c r="B984" s="2" t="n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0" t="n">
        <v>1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P984" s="0" t="n">
        <v>59.9</v>
      </c>
    </row>
    <row r="985" customFormat="false" ht="15" hidden="false" customHeight="false" outlineLevel="0" collapsed="false">
      <c r="A985" s="0" t="s">
        <v>1016</v>
      </c>
      <c r="B985" s="2" t="n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0" t="n">
        <v>1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P985" s="0" t="n">
        <v>58.8</v>
      </c>
    </row>
    <row r="986" customFormat="false" ht="15" hidden="false" customHeight="false" outlineLevel="0" collapsed="false">
      <c r="A986" s="0" t="s">
        <v>1017</v>
      </c>
      <c r="B986" s="2" t="n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0" t="n">
        <v>1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P986" s="0" t="n">
        <v>69.6</v>
      </c>
    </row>
    <row r="987" customFormat="false" ht="15" hidden="false" customHeight="false" outlineLevel="0" collapsed="false">
      <c r="A987" s="0" t="s">
        <v>1018</v>
      </c>
      <c r="B987" s="2" t="n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0" t="n">
        <v>1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P987" s="0" t="n">
        <v>77.5</v>
      </c>
    </row>
    <row r="988" customFormat="false" ht="15" hidden="false" customHeight="false" outlineLevel="0" collapsed="false">
      <c r="A988" s="0" t="s">
        <v>1019</v>
      </c>
      <c r="B988" s="2" t="n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2</v>
      </c>
      <c r="N988" s="0" t="n">
        <v>0</v>
      </c>
      <c r="P988" s="0" t="n">
        <v>57.5</v>
      </c>
    </row>
    <row r="989" customFormat="false" ht="15" hidden="false" customHeight="false" outlineLevel="0" collapsed="false">
      <c r="A989" s="0" t="s">
        <v>1020</v>
      </c>
      <c r="B989" s="2" t="n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0" t="n">
        <v>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P989" s="0" t="n">
        <v>64.2</v>
      </c>
    </row>
    <row r="990" customFormat="false" ht="15" hidden="false" customHeight="false" outlineLevel="0" collapsed="false">
      <c r="A990" s="0" t="s">
        <v>1021</v>
      </c>
      <c r="B990" s="2" t="n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P990" s="0" t="n">
        <v>60</v>
      </c>
    </row>
    <row r="991" customFormat="false" ht="15" hidden="false" customHeight="false" outlineLevel="0" collapsed="false">
      <c r="A991" s="0" t="s">
        <v>1022</v>
      </c>
      <c r="B991" s="2" t="n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0" t="n">
        <v>1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0</v>
      </c>
      <c r="P991" s="0" t="n">
        <v>43.7</v>
      </c>
    </row>
    <row r="992" customFormat="false" ht="15" hidden="false" customHeight="false" outlineLevel="0" collapsed="false">
      <c r="A992" s="0" t="s">
        <v>1023</v>
      </c>
      <c r="B992" s="2" t="n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0" t="n">
        <v>1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P992" s="0" t="n">
        <v>64.9</v>
      </c>
    </row>
    <row r="993" customFormat="false" ht="15" hidden="false" customHeight="false" outlineLevel="0" collapsed="false">
      <c r="A993" s="0" t="s">
        <v>1024</v>
      </c>
      <c r="B993" s="2" t="n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0" t="n">
        <v>1</v>
      </c>
      <c r="I993" s="0" t="n">
        <v>1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P993" s="0" t="n">
        <v>45.5</v>
      </c>
    </row>
    <row r="994" customFormat="false" ht="15" hidden="false" customHeight="false" outlineLevel="0" collapsed="false">
      <c r="A994" s="0" t="s">
        <v>1025</v>
      </c>
      <c r="B994" s="2" t="n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0" t="n">
        <v>1</v>
      </c>
      <c r="I994" s="0" t="n">
        <v>1</v>
      </c>
      <c r="J994" s="0" t="n">
        <v>1</v>
      </c>
      <c r="K994" s="0" t="n">
        <v>1</v>
      </c>
      <c r="L994" s="0" t="n">
        <v>1772.97</v>
      </c>
      <c r="M994" s="0" t="n">
        <v>0</v>
      </c>
      <c r="N994" s="0" t="n">
        <v>0</v>
      </c>
      <c r="O994" s="0" t="n">
        <v>8</v>
      </c>
      <c r="P994" s="0" t="n">
        <v>61.2</v>
      </c>
    </row>
    <row r="995" customFormat="false" ht="15" hidden="false" customHeight="false" outlineLevel="0" collapsed="false">
      <c r="A995" s="0" t="s">
        <v>1026</v>
      </c>
      <c r="B995" s="2" t="n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P995" s="0" t="n">
        <v>87.8</v>
      </c>
    </row>
    <row r="996" customFormat="false" ht="15" hidden="false" customHeight="false" outlineLevel="0" collapsed="false">
      <c r="A996" s="0" t="s">
        <v>1027</v>
      </c>
      <c r="B996" s="2" t="n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P996" s="0" t="n">
        <v>86.4</v>
      </c>
    </row>
    <row r="997" customFormat="false" ht="15" hidden="false" customHeight="false" outlineLevel="0" collapsed="false">
      <c r="A997" s="0" t="s">
        <v>1028</v>
      </c>
      <c r="B997" s="2" t="n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0</v>
      </c>
      <c r="P997" s="0" t="n">
        <v>71.4</v>
      </c>
    </row>
    <row r="998" customFormat="false" ht="15" hidden="false" customHeight="false" outlineLevel="0" collapsed="false">
      <c r="A998" s="0" t="s">
        <v>1029</v>
      </c>
      <c r="B998" s="2" t="n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0" t="n">
        <v>1</v>
      </c>
      <c r="I998" s="0" t="n">
        <v>1</v>
      </c>
      <c r="J998" s="0" t="n">
        <v>1</v>
      </c>
      <c r="K998" s="0" t="n">
        <v>1</v>
      </c>
      <c r="L998" s="0" t="n">
        <v>218.66</v>
      </c>
      <c r="M998" s="0" t="n">
        <v>0</v>
      </c>
      <c r="N998" s="0" t="n">
        <v>1</v>
      </c>
      <c r="O998" s="0" t="n">
        <v>8</v>
      </c>
      <c r="P998" s="0" t="n">
        <v>72.2</v>
      </c>
    </row>
    <row r="999" customFormat="false" ht="15" hidden="false" customHeight="false" outlineLevel="0" collapsed="false">
      <c r="A999" s="0" t="s">
        <v>1030</v>
      </c>
      <c r="B999" s="2" t="n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0" t="n">
        <v>1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P999" s="0" t="n">
        <v>51.9</v>
      </c>
    </row>
    <row r="1000" customFormat="false" ht="15" hidden="false" customHeight="false" outlineLevel="0" collapsed="false">
      <c r="A1000" s="0" t="s">
        <v>1031</v>
      </c>
      <c r="B1000" s="2" t="n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0" t="n">
        <v>1</v>
      </c>
      <c r="I1000" s="0" t="n">
        <v>1</v>
      </c>
      <c r="J1000" s="0" t="n">
        <v>1</v>
      </c>
      <c r="K1000" s="0" t="n">
        <v>0</v>
      </c>
      <c r="L1000" s="0" t="n">
        <v>0</v>
      </c>
      <c r="M1000" s="0" t="n">
        <v>0</v>
      </c>
      <c r="N1000" s="0" t="n">
        <v>0</v>
      </c>
      <c r="P1000" s="0" t="n">
        <v>70.3</v>
      </c>
    </row>
    <row r="1001" customFormat="false" ht="15" hidden="false" customHeight="false" outlineLevel="0" collapsed="false">
      <c r="A1001" s="0" t="s">
        <v>1032</v>
      </c>
      <c r="B1001" s="2" t="n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0" t="n">
        <v>1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0</v>
      </c>
      <c r="P1001" s="0" t="n">
        <v>49.2</v>
      </c>
    </row>
    <row r="1002" customFormat="false" ht="15" hidden="false" customHeight="false" outlineLevel="0" collapsed="false">
      <c r="A1002" s="0" t="s">
        <v>1033</v>
      </c>
      <c r="B1002" s="2" t="n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P1002" s="0" t="n">
        <v>52.2</v>
      </c>
    </row>
    <row r="1003" customFormat="false" ht="15" hidden="false" customHeight="false" outlineLevel="0" collapsed="false">
      <c r="A1003" s="0" t="s">
        <v>1034</v>
      </c>
      <c r="B1003" s="2" t="n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0</v>
      </c>
      <c r="P1003" s="0" t="n">
        <v>62.6</v>
      </c>
    </row>
    <row r="1004" customFormat="false" ht="15" hidden="false" customHeight="false" outlineLevel="0" collapsed="false">
      <c r="A1004" s="0" t="s">
        <v>1035</v>
      </c>
      <c r="B1004" s="2" t="n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0" t="n">
        <v>1</v>
      </c>
      <c r="I1004" s="0" t="n">
        <v>1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P1004" s="0" t="n">
        <v>100</v>
      </c>
    </row>
    <row r="1005" customFormat="false" ht="15" hidden="false" customHeight="false" outlineLevel="0" collapsed="false">
      <c r="A1005" s="0" t="s">
        <v>1036</v>
      </c>
      <c r="B1005" s="2" t="n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0" t="n">
        <v>1</v>
      </c>
      <c r="I1005" s="0" t="n">
        <v>1</v>
      </c>
      <c r="J1005" s="0" t="n">
        <v>1</v>
      </c>
      <c r="K1005" s="0" t="n">
        <v>0</v>
      </c>
      <c r="L1005" s="0" t="n">
        <v>0</v>
      </c>
      <c r="M1005" s="0" t="n">
        <v>2</v>
      </c>
      <c r="N1005" s="0" t="n">
        <v>0</v>
      </c>
      <c r="P1005" s="0" t="n">
        <v>45.9</v>
      </c>
    </row>
    <row r="1006" customFormat="false" ht="15" hidden="false" customHeight="false" outlineLevel="0" collapsed="false">
      <c r="A1006" s="0" t="s">
        <v>1037</v>
      </c>
      <c r="B1006" s="2" t="n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0" t="n">
        <v>1</v>
      </c>
      <c r="I1006" s="0" t="n">
        <v>1</v>
      </c>
      <c r="J1006" s="0" t="n">
        <v>1</v>
      </c>
      <c r="K1006" s="0" t="n">
        <v>0</v>
      </c>
      <c r="L1006" s="0" t="n">
        <v>0</v>
      </c>
      <c r="M1006" s="0" t="n">
        <v>0</v>
      </c>
      <c r="N1006" s="0" t="n">
        <v>0</v>
      </c>
      <c r="P1006" s="0" t="n">
        <v>80.7</v>
      </c>
    </row>
    <row r="1007" customFormat="false" ht="15" hidden="false" customHeight="false" outlineLevel="0" collapsed="false">
      <c r="A1007" s="0" t="s">
        <v>1038</v>
      </c>
      <c r="B1007" s="2" t="n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0" t="n">
        <v>1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P1007" s="0" t="n">
        <v>51.9</v>
      </c>
    </row>
    <row r="1008" customFormat="false" ht="15" hidden="false" customHeight="false" outlineLevel="0" collapsed="false">
      <c r="A1008" s="0" t="s">
        <v>1039</v>
      </c>
      <c r="B1008" s="2" t="n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0" t="n">
        <v>1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P1008" s="0" t="n">
        <v>68.9</v>
      </c>
    </row>
    <row r="1009" customFormat="false" ht="15" hidden="false" customHeight="false" outlineLevel="0" collapsed="false">
      <c r="A1009" s="0" t="s">
        <v>1040</v>
      </c>
      <c r="B1009" s="2" t="n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0" t="n">
        <v>1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P1009" s="0" t="n">
        <v>66</v>
      </c>
    </row>
    <row r="1010" customFormat="false" ht="15" hidden="false" customHeight="false" outlineLevel="0" collapsed="false">
      <c r="A1010" s="0" t="s">
        <v>1041</v>
      </c>
      <c r="B1010" s="2" t="n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P1010" s="0" t="n">
        <v>63.1</v>
      </c>
    </row>
    <row r="1011" customFormat="false" ht="15" hidden="false" customHeight="false" outlineLevel="0" collapsed="false">
      <c r="A1011" s="0" t="s">
        <v>1042</v>
      </c>
      <c r="B1011" s="2" t="n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P1011" s="0" t="n">
        <v>56</v>
      </c>
    </row>
    <row r="1012" customFormat="false" ht="15" hidden="false" customHeight="false" outlineLevel="0" collapsed="false">
      <c r="A1012" s="0" t="s">
        <v>1043</v>
      </c>
      <c r="B1012" s="2" t="n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0" t="n">
        <v>1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0</v>
      </c>
      <c r="P1012" s="0" t="n">
        <v>65.7</v>
      </c>
    </row>
    <row r="1013" customFormat="false" ht="15" hidden="false" customHeight="false" outlineLevel="0" collapsed="false">
      <c r="A1013" s="0" t="s">
        <v>1044</v>
      </c>
      <c r="B1013" s="2" t="n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0" t="n">
        <v>1</v>
      </c>
      <c r="I1013" s="0" t="n">
        <v>1</v>
      </c>
      <c r="J1013" s="0" t="n">
        <v>1</v>
      </c>
      <c r="K1013" s="0" t="n">
        <v>1</v>
      </c>
      <c r="L1013" s="0" t="n">
        <v>1938.31</v>
      </c>
      <c r="M1013" s="0" t="n">
        <v>1</v>
      </c>
      <c r="N1013" s="0" t="n">
        <v>0</v>
      </c>
      <c r="O1013" s="0" t="n">
        <v>9</v>
      </c>
      <c r="P1013" s="0" t="n">
        <v>60.9</v>
      </c>
    </row>
    <row r="1014" customFormat="false" ht="15" hidden="false" customHeight="false" outlineLevel="0" collapsed="false">
      <c r="A1014" s="0" t="s">
        <v>1045</v>
      </c>
      <c r="B1014" s="2" t="n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P1014" s="0" t="n">
        <v>45.5</v>
      </c>
    </row>
    <row r="1015" customFormat="false" ht="15" hidden="false" customHeight="false" outlineLevel="0" collapsed="false">
      <c r="A1015" s="0" t="s">
        <v>1046</v>
      </c>
      <c r="B1015" s="2" t="n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0" t="n">
        <v>1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P1015" s="0" t="n">
        <v>50</v>
      </c>
    </row>
    <row r="1016" customFormat="false" ht="15" hidden="false" customHeight="false" outlineLevel="0" collapsed="false">
      <c r="A1016" s="0" t="s">
        <v>1047</v>
      </c>
      <c r="B1016" s="2" t="n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0" t="n">
        <v>1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P1016" s="0" t="n">
        <v>72.1</v>
      </c>
    </row>
    <row r="1017" customFormat="false" ht="15" hidden="false" customHeight="false" outlineLevel="0" collapsed="false">
      <c r="A1017" s="0" t="s">
        <v>1048</v>
      </c>
      <c r="B1017" s="2" t="n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0" t="n">
        <v>1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P1017" s="0" t="n">
        <v>76.3</v>
      </c>
    </row>
    <row r="1018" customFormat="false" ht="15" hidden="false" customHeight="false" outlineLevel="0" collapsed="false">
      <c r="A1018" s="0" t="s">
        <v>1049</v>
      </c>
      <c r="B1018" s="2" t="n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0" t="n">
        <v>1</v>
      </c>
      <c r="I1018" s="0" t="n">
        <v>1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0</v>
      </c>
      <c r="P1018" s="0" t="n">
        <v>54.8</v>
      </c>
    </row>
    <row r="1019" customFormat="false" ht="15" hidden="false" customHeight="false" outlineLevel="0" collapsed="false">
      <c r="A1019" s="0" t="s">
        <v>1050</v>
      </c>
      <c r="B1019" s="2" t="n">
        <v>45748</v>
      </c>
      <c r="C1019" s="3" t="s">
        <v>723</v>
      </c>
      <c r="D1019" s="3" t="s">
        <v>32</v>
      </c>
      <c r="E1019" s="3" t="s">
        <v>24</v>
      </c>
      <c r="G1019" s="3" t="s">
        <v>21</v>
      </c>
      <c r="H1019" s="0" t="n">
        <v>1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P1019" s="0" t="n">
        <v>63.6</v>
      </c>
    </row>
    <row r="1020" customFormat="false" ht="15" hidden="false" customHeight="false" outlineLevel="0" collapsed="false">
      <c r="A1020" s="0" t="s">
        <v>1051</v>
      </c>
      <c r="B1020" s="2" t="n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0" t="n">
        <v>1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P1020" s="0" t="n">
        <v>68.8</v>
      </c>
    </row>
    <row r="1021" customFormat="false" ht="15" hidden="false" customHeight="false" outlineLevel="0" collapsed="false">
      <c r="A1021" s="0" t="s">
        <v>1052</v>
      </c>
      <c r="B1021" s="2" t="n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0" t="n">
        <v>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P1021" s="0" t="n">
        <v>63.2</v>
      </c>
    </row>
    <row r="1022" customFormat="false" ht="15" hidden="false" customHeight="false" outlineLevel="0" collapsed="false">
      <c r="A1022" s="0" t="s">
        <v>1053</v>
      </c>
      <c r="B1022" s="2" t="n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P1022" s="0" t="n">
        <v>45</v>
      </c>
    </row>
    <row r="1023" customFormat="false" ht="15" hidden="false" customHeight="false" outlineLevel="0" collapsed="false">
      <c r="A1023" s="0" t="s">
        <v>1054</v>
      </c>
      <c r="B1023" s="2" t="n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0" t="n">
        <v>1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P1023" s="0" t="n">
        <v>77.4</v>
      </c>
    </row>
    <row r="1024" customFormat="false" ht="15" hidden="false" customHeight="false" outlineLevel="0" collapsed="false">
      <c r="A1024" s="0" t="s">
        <v>1055</v>
      </c>
      <c r="B1024" s="2" t="n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P1024" s="0" t="n">
        <v>53.1</v>
      </c>
    </row>
    <row r="1025" customFormat="false" ht="15" hidden="false" customHeight="false" outlineLevel="0" collapsed="false">
      <c r="A1025" s="0" t="s">
        <v>1056</v>
      </c>
      <c r="B1025" s="2" t="n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P1025" s="0" t="n">
        <v>74</v>
      </c>
    </row>
    <row r="1026" customFormat="false" ht="15" hidden="false" customHeight="false" outlineLevel="0" collapsed="false">
      <c r="A1026" s="0" t="s">
        <v>1057</v>
      </c>
      <c r="B1026" s="2" t="n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0" t="n">
        <v>1</v>
      </c>
      <c r="I1026" s="0" t="n">
        <v>1</v>
      </c>
      <c r="J1026" s="0" t="n">
        <v>1</v>
      </c>
      <c r="K1026" s="0" t="n">
        <v>1</v>
      </c>
      <c r="L1026" s="0" t="n">
        <v>1906.23</v>
      </c>
      <c r="M1026" s="0" t="n">
        <v>0</v>
      </c>
      <c r="N1026" s="0" t="n">
        <v>0</v>
      </c>
      <c r="O1026" s="0" t="n">
        <v>4</v>
      </c>
      <c r="P1026" s="0" t="n">
        <v>84.6</v>
      </c>
    </row>
    <row r="1027" customFormat="false" ht="15" hidden="false" customHeight="false" outlineLevel="0" collapsed="false">
      <c r="A1027" s="0" t="s">
        <v>1058</v>
      </c>
      <c r="B1027" s="2" t="n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0" t="n">
        <v>1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P1027" s="0" t="n">
        <v>57</v>
      </c>
    </row>
    <row r="1028" customFormat="false" ht="15" hidden="false" customHeight="false" outlineLevel="0" collapsed="false">
      <c r="A1028" s="0" t="s">
        <v>1059</v>
      </c>
      <c r="B1028" s="2" t="n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P1028" s="0" t="n">
        <v>46.3</v>
      </c>
    </row>
    <row r="1029" customFormat="false" ht="15" hidden="false" customHeight="false" outlineLevel="0" collapsed="false">
      <c r="A1029" s="0" t="s">
        <v>1060</v>
      </c>
      <c r="B1029" s="2" t="n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0</v>
      </c>
      <c r="P1029" s="0" t="n">
        <v>64.4</v>
      </c>
    </row>
    <row r="1030" customFormat="false" ht="15" hidden="false" customHeight="false" outlineLevel="0" collapsed="false">
      <c r="A1030" s="0" t="s">
        <v>1061</v>
      </c>
      <c r="B1030" s="2" t="n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0" t="n">
        <v>1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2</v>
      </c>
      <c r="N1030" s="0" t="n">
        <v>0</v>
      </c>
      <c r="P1030" s="0" t="n">
        <v>61.9</v>
      </c>
    </row>
    <row r="1031" customFormat="false" ht="15" hidden="false" customHeight="false" outlineLevel="0" collapsed="false">
      <c r="A1031" s="0" t="s">
        <v>1062</v>
      </c>
      <c r="B1031" s="2" t="n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0" t="n">
        <v>1</v>
      </c>
      <c r="I1031" s="0" t="n">
        <v>1</v>
      </c>
      <c r="J1031" s="0" t="n">
        <v>1</v>
      </c>
      <c r="K1031" s="0" t="n">
        <v>0</v>
      </c>
      <c r="L1031" s="0" t="n">
        <v>0</v>
      </c>
      <c r="M1031" s="0" t="n">
        <v>0</v>
      </c>
      <c r="N1031" s="0" t="n">
        <v>0</v>
      </c>
      <c r="P1031" s="0" t="n">
        <v>93.7</v>
      </c>
    </row>
    <row r="1032" customFormat="false" ht="15" hidden="false" customHeight="false" outlineLevel="0" collapsed="false">
      <c r="A1032" s="0" t="s">
        <v>1063</v>
      </c>
      <c r="B1032" s="2" t="n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P1032" s="0" t="n">
        <v>61.6</v>
      </c>
    </row>
    <row r="1033" customFormat="false" ht="15" hidden="false" customHeight="false" outlineLevel="0" collapsed="false">
      <c r="A1033" s="0" t="s">
        <v>1064</v>
      </c>
      <c r="B1033" s="2" t="n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0" t="n">
        <v>1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P1033" s="0" t="n">
        <v>72.2</v>
      </c>
    </row>
    <row r="1034" customFormat="false" ht="15" hidden="false" customHeight="false" outlineLevel="0" collapsed="false">
      <c r="A1034" s="0" t="s">
        <v>1065</v>
      </c>
      <c r="B1034" s="2" t="n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P1034" s="0" t="n">
        <v>69.5</v>
      </c>
    </row>
    <row r="1035" customFormat="false" ht="15" hidden="false" customHeight="false" outlineLevel="0" collapsed="false">
      <c r="A1035" s="0" t="s">
        <v>1066</v>
      </c>
      <c r="B1035" s="2" t="n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P1035" s="0" t="n">
        <v>59.7</v>
      </c>
    </row>
    <row r="1036" customFormat="false" ht="15" hidden="false" customHeight="false" outlineLevel="0" collapsed="false">
      <c r="A1036" s="0" t="s">
        <v>1067</v>
      </c>
      <c r="B1036" s="2" t="n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0" t="n">
        <v>1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P1036" s="0" t="n">
        <v>73.9</v>
      </c>
    </row>
    <row r="1037" customFormat="false" ht="15" hidden="false" customHeight="false" outlineLevel="0" collapsed="false">
      <c r="A1037" s="0" t="s">
        <v>1068</v>
      </c>
      <c r="B1037" s="2" t="n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P1037" s="0" t="n">
        <v>41.5</v>
      </c>
    </row>
    <row r="1038" customFormat="false" ht="15" hidden="false" customHeight="false" outlineLevel="0" collapsed="false">
      <c r="A1038" s="0" t="s">
        <v>1069</v>
      </c>
      <c r="B1038" s="2" t="n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0" t="n">
        <v>1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P1038" s="0" t="n">
        <v>82.8</v>
      </c>
    </row>
    <row r="1039" customFormat="false" ht="15" hidden="false" customHeight="false" outlineLevel="0" collapsed="false">
      <c r="A1039" s="0" t="s">
        <v>1070</v>
      </c>
      <c r="B1039" s="2" t="n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0" t="n">
        <v>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3</v>
      </c>
      <c r="N1039" s="0" t="n">
        <v>0</v>
      </c>
      <c r="P1039" s="0" t="n">
        <v>70.2</v>
      </c>
    </row>
    <row r="1040" customFormat="false" ht="15" hidden="false" customHeight="false" outlineLevel="0" collapsed="false">
      <c r="A1040" s="0" t="s">
        <v>1071</v>
      </c>
      <c r="B1040" s="2" t="n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0" t="n">
        <v>1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0</v>
      </c>
      <c r="P1040" s="0" t="n">
        <v>69.4</v>
      </c>
    </row>
    <row r="1041" customFormat="false" ht="15" hidden="false" customHeight="false" outlineLevel="0" collapsed="false">
      <c r="A1041" s="0" t="s">
        <v>1072</v>
      </c>
      <c r="B1041" s="2" t="n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0" t="n">
        <v>1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P1041" s="0" t="n">
        <v>60.4</v>
      </c>
    </row>
    <row r="1042" customFormat="false" ht="15" hidden="false" customHeight="false" outlineLevel="0" collapsed="false">
      <c r="A1042" s="0" t="s">
        <v>1073</v>
      </c>
      <c r="B1042" s="2" t="n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0" t="n">
        <v>1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P1042" s="0" t="n">
        <v>45.7</v>
      </c>
    </row>
    <row r="1043" customFormat="false" ht="15" hidden="false" customHeight="false" outlineLevel="0" collapsed="false">
      <c r="A1043" s="0" t="s">
        <v>1074</v>
      </c>
      <c r="B1043" s="2" t="n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0</v>
      </c>
      <c r="P1043" s="0" t="n">
        <v>42.2</v>
      </c>
    </row>
    <row r="1044" customFormat="false" ht="15" hidden="false" customHeight="false" outlineLevel="0" collapsed="false">
      <c r="A1044" s="0" t="s">
        <v>1075</v>
      </c>
      <c r="B1044" s="2" t="n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2</v>
      </c>
      <c r="N1044" s="0" t="n">
        <v>0</v>
      </c>
      <c r="P1044" s="0" t="n">
        <v>61.9</v>
      </c>
    </row>
    <row r="1045" customFormat="false" ht="15" hidden="false" customHeight="false" outlineLevel="0" collapsed="false">
      <c r="A1045" s="0" t="s">
        <v>1076</v>
      </c>
      <c r="B1045" s="2" t="n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P1045" s="0" t="n">
        <v>44.9</v>
      </c>
    </row>
    <row r="1046" customFormat="false" ht="15" hidden="false" customHeight="false" outlineLevel="0" collapsed="false">
      <c r="A1046" s="0" t="s">
        <v>1077</v>
      </c>
      <c r="B1046" s="2" t="n">
        <v>45714</v>
      </c>
      <c r="C1046" s="3" t="s">
        <v>723</v>
      </c>
      <c r="D1046" s="3" t="s">
        <v>28</v>
      </c>
      <c r="E1046" s="3" t="s">
        <v>19</v>
      </c>
      <c r="G1046" s="3" t="s">
        <v>21</v>
      </c>
      <c r="H1046" s="0" t="n">
        <v>1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P1046" s="0" t="n">
        <v>68</v>
      </c>
    </row>
    <row r="1047" customFormat="false" ht="15" hidden="false" customHeight="false" outlineLevel="0" collapsed="false">
      <c r="A1047" s="0" t="s">
        <v>1078</v>
      </c>
      <c r="B1047" s="2" t="n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0" t="n">
        <v>1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P1047" s="0" t="n">
        <v>61</v>
      </c>
    </row>
    <row r="1048" customFormat="false" ht="15" hidden="false" customHeight="false" outlineLevel="0" collapsed="false">
      <c r="A1048" s="0" t="s">
        <v>1079</v>
      </c>
      <c r="B1048" s="2" t="n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0" t="n">
        <v>1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P1048" s="0" t="n">
        <v>55</v>
      </c>
    </row>
    <row r="1049" customFormat="false" ht="15" hidden="false" customHeight="false" outlineLevel="0" collapsed="false">
      <c r="A1049" s="0" t="s">
        <v>1080</v>
      </c>
      <c r="B1049" s="2" t="n">
        <v>45708</v>
      </c>
      <c r="C1049" s="3" t="s">
        <v>723</v>
      </c>
      <c r="D1049" s="3" t="s">
        <v>28</v>
      </c>
      <c r="F1049" s="3" t="s">
        <v>29</v>
      </c>
      <c r="G1049" s="3" t="s">
        <v>21</v>
      </c>
      <c r="H1049" s="0" t="n">
        <v>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P1049" s="0" t="n">
        <v>63.1</v>
      </c>
    </row>
    <row r="1050" customFormat="false" ht="15" hidden="false" customHeight="false" outlineLevel="0" collapsed="false">
      <c r="A1050" s="0" t="s">
        <v>1081</v>
      </c>
      <c r="B1050" s="2" t="n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0" t="n">
        <v>1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P1050" s="0" t="n">
        <v>75.8</v>
      </c>
    </row>
    <row r="1051" customFormat="false" ht="15" hidden="false" customHeight="false" outlineLevel="0" collapsed="false">
      <c r="A1051" s="0" t="s">
        <v>1082</v>
      </c>
      <c r="B1051" s="2" t="n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0" t="n">
        <v>1</v>
      </c>
      <c r="I1051" s="0" t="n">
        <v>1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0</v>
      </c>
      <c r="P1051" s="0" t="n">
        <v>43.8</v>
      </c>
    </row>
    <row r="1052" customFormat="false" ht="15" hidden="false" customHeight="false" outlineLevel="0" collapsed="false">
      <c r="A1052" s="0" t="s">
        <v>1083</v>
      </c>
      <c r="B1052" s="2" t="n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0" t="n">
        <v>1</v>
      </c>
      <c r="I1052" s="0" t="n">
        <v>1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P1052" s="0" t="n">
        <v>46.8</v>
      </c>
    </row>
    <row r="1053" customFormat="false" ht="15" hidden="false" customHeight="false" outlineLevel="0" collapsed="false">
      <c r="A1053" s="0" t="s">
        <v>1084</v>
      </c>
      <c r="B1053" s="2" t="n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0" t="n">
        <v>1</v>
      </c>
      <c r="I1053" s="0" t="n">
        <v>1</v>
      </c>
      <c r="J1053" s="0" t="n">
        <v>1</v>
      </c>
      <c r="K1053" s="0" t="n">
        <v>0</v>
      </c>
      <c r="L1053" s="0" t="n">
        <v>0</v>
      </c>
      <c r="M1053" s="0" t="n">
        <v>0</v>
      </c>
      <c r="N1053" s="0" t="n">
        <v>0</v>
      </c>
      <c r="P1053" s="0" t="n">
        <v>97.4</v>
      </c>
    </row>
    <row r="1054" customFormat="false" ht="15" hidden="false" customHeight="false" outlineLevel="0" collapsed="false">
      <c r="A1054" s="0" t="s">
        <v>1085</v>
      </c>
      <c r="B1054" s="2" t="n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0" t="n">
        <v>1</v>
      </c>
      <c r="I1054" s="0" t="n">
        <v>1</v>
      </c>
      <c r="J1054" s="0" t="n">
        <v>1</v>
      </c>
      <c r="K1054" s="0" t="n">
        <v>1</v>
      </c>
      <c r="L1054" s="0" t="n">
        <v>268.96</v>
      </c>
      <c r="M1054" s="0" t="n">
        <v>0</v>
      </c>
      <c r="N1054" s="0" t="n">
        <v>0</v>
      </c>
      <c r="O1054" s="0" t="n">
        <v>14</v>
      </c>
      <c r="P1054" s="0" t="n">
        <v>81</v>
      </c>
    </row>
    <row r="1055" customFormat="false" ht="15" hidden="false" customHeight="false" outlineLevel="0" collapsed="false">
      <c r="A1055" s="0" t="s">
        <v>1086</v>
      </c>
      <c r="B1055" s="2" t="n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0" t="n">
        <v>1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0</v>
      </c>
      <c r="P1055" s="0" t="n">
        <v>58.9</v>
      </c>
    </row>
    <row r="1056" customFormat="false" ht="15" hidden="false" customHeight="false" outlineLevel="0" collapsed="false">
      <c r="A1056" s="0" t="s">
        <v>1087</v>
      </c>
      <c r="B1056" s="2" t="n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0" t="n">
        <v>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P1056" s="0" t="n">
        <v>51.9</v>
      </c>
    </row>
    <row r="1057" customFormat="false" ht="15" hidden="false" customHeight="false" outlineLevel="0" collapsed="false">
      <c r="A1057" s="0" t="s">
        <v>1088</v>
      </c>
      <c r="B1057" s="2" t="n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0" t="n">
        <v>1</v>
      </c>
      <c r="I1057" s="0" t="n">
        <v>1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P1057" s="0" t="n">
        <v>61.7</v>
      </c>
    </row>
    <row r="1058" customFormat="false" ht="15" hidden="false" customHeight="false" outlineLevel="0" collapsed="false">
      <c r="A1058" s="0" t="s">
        <v>1089</v>
      </c>
      <c r="B1058" s="2" t="n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0" t="n">
        <v>1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P1058" s="0" t="n">
        <v>44.7</v>
      </c>
    </row>
    <row r="1059" customFormat="false" ht="15" hidden="false" customHeight="false" outlineLevel="0" collapsed="false">
      <c r="A1059" s="0" t="s">
        <v>1090</v>
      </c>
      <c r="B1059" s="2" t="n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P1059" s="0" t="n">
        <v>63.2</v>
      </c>
    </row>
    <row r="1060" customFormat="false" ht="15" hidden="false" customHeight="false" outlineLevel="0" collapsed="false">
      <c r="A1060" s="0" t="s">
        <v>1091</v>
      </c>
      <c r="B1060" s="2" t="n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0" t="n">
        <v>1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P1060" s="0" t="n">
        <v>70.3</v>
      </c>
    </row>
    <row r="1061" customFormat="false" ht="15" hidden="false" customHeight="false" outlineLevel="0" collapsed="false">
      <c r="A1061" s="0" t="s">
        <v>1092</v>
      </c>
      <c r="B1061" s="2" t="n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0" t="n">
        <v>1</v>
      </c>
      <c r="I1061" s="0" t="n">
        <v>1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0</v>
      </c>
      <c r="P1061" s="0" t="n">
        <v>83.1</v>
      </c>
    </row>
    <row r="1062" customFormat="false" ht="15" hidden="false" customHeight="false" outlineLevel="0" collapsed="false">
      <c r="A1062" s="0" t="s">
        <v>1093</v>
      </c>
      <c r="B1062" s="2" t="n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P1062" s="0" t="n">
        <v>50.3</v>
      </c>
    </row>
    <row r="1063" customFormat="false" ht="15" hidden="false" customHeight="false" outlineLevel="0" collapsed="false">
      <c r="A1063" s="0" t="s">
        <v>1094</v>
      </c>
      <c r="B1063" s="2" t="n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0" t="n">
        <v>1</v>
      </c>
      <c r="I1063" s="0" t="n">
        <v>1</v>
      </c>
      <c r="J1063" s="0" t="n">
        <v>1</v>
      </c>
      <c r="K1063" s="0" t="n">
        <v>1</v>
      </c>
      <c r="L1063" s="0" t="n">
        <v>437.09</v>
      </c>
      <c r="M1063" s="0" t="n">
        <v>2</v>
      </c>
      <c r="N1063" s="0" t="n">
        <v>1</v>
      </c>
      <c r="O1063" s="0" t="n">
        <v>1</v>
      </c>
      <c r="P1063" s="0" t="n">
        <v>58.2</v>
      </c>
    </row>
    <row r="1064" customFormat="false" ht="15" hidden="false" customHeight="false" outlineLevel="0" collapsed="false">
      <c r="A1064" s="0" t="s">
        <v>1095</v>
      </c>
      <c r="B1064" s="2" t="n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0" t="n">
        <v>1</v>
      </c>
      <c r="I1064" s="0" t="n">
        <v>1</v>
      </c>
      <c r="J1064" s="0" t="n">
        <v>1</v>
      </c>
      <c r="K1064" s="0" t="n">
        <v>0</v>
      </c>
      <c r="L1064" s="0" t="n">
        <v>0</v>
      </c>
      <c r="M1064" s="0" t="n">
        <v>0</v>
      </c>
      <c r="N1064" s="0" t="n">
        <v>0</v>
      </c>
      <c r="P1064" s="0" t="n">
        <v>53.2</v>
      </c>
    </row>
    <row r="1065" customFormat="false" ht="15" hidden="false" customHeight="false" outlineLevel="0" collapsed="false">
      <c r="A1065" s="0" t="s">
        <v>1096</v>
      </c>
      <c r="B1065" s="2" t="n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P1065" s="0" t="n">
        <v>36.4</v>
      </c>
    </row>
    <row r="1066" customFormat="false" ht="15" hidden="false" customHeight="false" outlineLevel="0" collapsed="false">
      <c r="A1066" s="0" t="s">
        <v>1097</v>
      </c>
      <c r="B1066" s="2" t="n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0" t="n">
        <v>1</v>
      </c>
      <c r="I1066" s="0" t="n">
        <v>1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0</v>
      </c>
      <c r="P1066" s="0" t="n">
        <v>72.7</v>
      </c>
    </row>
    <row r="1067" customFormat="false" ht="15" hidden="false" customHeight="false" outlineLevel="0" collapsed="false">
      <c r="A1067" s="0" t="s">
        <v>1098</v>
      </c>
      <c r="B1067" s="2" t="n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0" t="n">
        <v>1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0</v>
      </c>
      <c r="P1067" s="0" t="n">
        <v>86.7</v>
      </c>
    </row>
    <row r="1068" customFormat="false" ht="15" hidden="false" customHeight="false" outlineLevel="0" collapsed="false">
      <c r="A1068" s="0" t="s">
        <v>1099</v>
      </c>
      <c r="B1068" s="2" t="n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0" t="n">
        <v>1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P1068" s="0" t="n">
        <v>48.2</v>
      </c>
    </row>
    <row r="1069" customFormat="false" ht="15" hidden="false" customHeight="false" outlineLevel="0" collapsed="false">
      <c r="A1069" s="0" t="s">
        <v>1100</v>
      </c>
      <c r="B1069" s="2" t="n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0</v>
      </c>
      <c r="P1069" s="0" t="n">
        <v>57.6</v>
      </c>
    </row>
    <row r="1070" customFormat="false" ht="15" hidden="false" customHeight="false" outlineLevel="0" collapsed="false">
      <c r="A1070" s="0" t="s">
        <v>1101</v>
      </c>
      <c r="B1070" s="2" t="n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0" t="n">
        <v>1</v>
      </c>
      <c r="I1070" s="0" t="n">
        <v>1</v>
      </c>
      <c r="J1070" s="0" t="n">
        <v>1</v>
      </c>
      <c r="K1070" s="0" t="n">
        <v>0</v>
      </c>
      <c r="L1070" s="0" t="n">
        <v>0</v>
      </c>
      <c r="M1070" s="0" t="n">
        <v>0</v>
      </c>
      <c r="N1070" s="0" t="n">
        <v>0</v>
      </c>
      <c r="P1070" s="0" t="n">
        <v>75.7</v>
      </c>
    </row>
    <row r="1071" customFormat="false" ht="15" hidden="false" customHeight="false" outlineLevel="0" collapsed="false">
      <c r="A1071" s="0" t="s">
        <v>1102</v>
      </c>
      <c r="B1071" s="2" t="n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0" t="n">
        <v>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2</v>
      </c>
      <c r="N1071" s="0" t="n">
        <v>0</v>
      </c>
      <c r="P1071" s="0" t="n">
        <v>48.6</v>
      </c>
    </row>
    <row r="1072" customFormat="false" ht="15" hidden="false" customHeight="false" outlineLevel="0" collapsed="false">
      <c r="A1072" s="0" t="s">
        <v>1103</v>
      </c>
      <c r="B1072" s="2" t="n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0" t="n">
        <v>1</v>
      </c>
      <c r="I1072" s="0" t="n">
        <v>1</v>
      </c>
      <c r="J1072" s="0" t="n">
        <v>1</v>
      </c>
      <c r="K1072" s="0" t="n">
        <v>0</v>
      </c>
      <c r="L1072" s="0" t="n">
        <v>0</v>
      </c>
      <c r="M1072" s="0" t="n">
        <v>0</v>
      </c>
      <c r="N1072" s="0" t="n">
        <v>0</v>
      </c>
      <c r="P1072" s="0" t="n">
        <v>72</v>
      </c>
    </row>
    <row r="1073" customFormat="false" ht="15" hidden="false" customHeight="false" outlineLevel="0" collapsed="false">
      <c r="A1073" s="0" t="s">
        <v>1104</v>
      </c>
      <c r="B1073" s="2" t="n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P1073" s="0" t="n">
        <v>72.2</v>
      </c>
    </row>
    <row r="1074" customFormat="false" ht="15" hidden="false" customHeight="false" outlineLevel="0" collapsed="false">
      <c r="A1074" s="0" t="s">
        <v>1105</v>
      </c>
      <c r="B1074" s="2" t="n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0" t="n">
        <v>1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1</v>
      </c>
      <c r="N1074" s="0" t="n">
        <v>0</v>
      </c>
    </row>
    <row r="1075" customFormat="false" ht="15" hidden="false" customHeight="false" outlineLevel="0" collapsed="false">
      <c r="A1075" s="0" t="s">
        <v>1106</v>
      </c>
      <c r="B1075" s="2" t="n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0" t="n">
        <v>1</v>
      </c>
      <c r="I1075" s="0" t="n">
        <v>1</v>
      </c>
      <c r="J1075" s="0" t="n">
        <v>1</v>
      </c>
      <c r="K1075" s="0" t="n">
        <v>1</v>
      </c>
      <c r="L1075" s="0" t="n">
        <v>331.53</v>
      </c>
      <c r="M1075" s="0" t="n">
        <v>2</v>
      </c>
      <c r="N1075" s="0" t="n">
        <v>0</v>
      </c>
      <c r="O1075" s="0" t="n">
        <v>4</v>
      </c>
      <c r="P1075" s="0" t="n">
        <v>56.8</v>
      </c>
    </row>
    <row r="1076" customFormat="false" ht="15" hidden="false" customHeight="false" outlineLevel="0" collapsed="false">
      <c r="A1076" s="0" t="s">
        <v>1107</v>
      </c>
      <c r="B1076" s="2" t="n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0" t="n">
        <v>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P1076" s="0" t="n">
        <v>62.5</v>
      </c>
    </row>
    <row r="1077" customFormat="false" ht="15" hidden="false" customHeight="false" outlineLevel="0" collapsed="false">
      <c r="A1077" s="0" t="s">
        <v>1108</v>
      </c>
      <c r="B1077" s="2" t="n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0" t="n">
        <v>1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P1077" s="0" t="n">
        <v>63.4</v>
      </c>
    </row>
    <row r="1078" customFormat="false" ht="15" hidden="false" customHeight="false" outlineLevel="0" collapsed="false">
      <c r="A1078" s="0" t="s">
        <v>1109</v>
      </c>
      <c r="B1078" s="2" t="n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0" t="n">
        <v>1</v>
      </c>
      <c r="I1078" s="0" t="n">
        <v>1</v>
      </c>
      <c r="J1078" s="0" t="n">
        <v>1</v>
      </c>
      <c r="K1078" s="0" t="n">
        <v>1</v>
      </c>
      <c r="L1078" s="0" t="n">
        <v>774.78</v>
      </c>
      <c r="M1078" s="0" t="n">
        <v>0</v>
      </c>
      <c r="N1078" s="0" t="n">
        <v>0</v>
      </c>
      <c r="O1078" s="0" t="n">
        <v>3</v>
      </c>
      <c r="P1078" s="0" t="n">
        <v>46.8</v>
      </c>
    </row>
    <row r="1079" customFormat="false" ht="15" hidden="false" customHeight="false" outlineLevel="0" collapsed="false">
      <c r="A1079" s="0" t="s">
        <v>1110</v>
      </c>
      <c r="B1079" s="2" t="n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0" t="n">
        <v>1</v>
      </c>
      <c r="I1079" s="0" t="n">
        <v>1</v>
      </c>
      <c r="J1079" s="0" t="n">
        <v>1</v>
      </c>
      <c r="K1079" s="0" t="n">
        <v>1</v>
      </c>
      <c r="L1079" s="0" t="n">
        <v>422.02</v>
      </c>
      <c r="M1079" s="0" t="n">
        <v>0</v>
      </c>
      <c r="N1079" s="0" t="n">
        <v>0</v>
      </c>
      <c r="O1079" s="0" t="n">
        <v>8</v>
      </c>
      <c r="P1079" s="0" t="n">
        <v>86.5</v>
      </c>
    </row>
    <row r="1080" customFormat="false" ht="15" hidden="false" customHeight="false" outlineLevel="0" collapsed="false">
      <c r="A1080" s="0" t="s">
        <v>1111</v>
      </c>
      <c r="B1080" s="2" t="n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0</v>
      </c>
      <c r="P1080" s="0" t="n">
        <v>75.1</v>
      </c>
    </row>
    <row r="1081" customFormat="false" ht="15" hidden="false" customHeight="false" outlineLevel="0" collapsed="false">
      <c r="A1081" s="0" t="s">
        <v>1112</v>
      </c>
      <c r="B1081" s="2" t="n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0" t="n">
        <v>1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P1081" s="0" t="n">
        <v>64.5</v>
      </c>
    </row>
    <row r="1082" customFormat="false" ht="15" hidden="false" customHeight="false" outlineLevel="0" collapsed="false">
      <c r="A1082" s="0" t="s">
        <v>1113</v>
      </c>
      <c r="B1082" s="2" t="n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0" t="n">
        <v>1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P1082" s="0" t="n">
        <v>54.2</v>
      </c>
    </row>
    <row r="1083" customFormat="false" ht="15" hidden="false" customHeight="false" outlineLevel="0" collapsed="false">
      <c r="A1083" s="0" t="s">
        <v>1114</v>
      </c>
      <c r="B1083" s="2" t="n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0" t="n">
        <v>1</v>
      </c>
      <c r="I1083" s="0" t="n">
        <v>1</v>
      </c>
      <c r="J1083" s="0" t="n">
        <v>1</v>
      </c>
      <c r="K1083" s="0" t="n">
        <v>0</v>
      </c>
      <c r="L1083" s="0" t="n">
        <v>0</v>
      </c>
      <c r="M1083" s="0" t="n">
        <v>0</v>
      </c>
      <c r="N1083" s="0" t="n">
        <v>0</v>
      </c>
      <c r="P1083" s="0" t="n">
        <v>84.1</v>
      </c>
    </row>
    <row r="1084" customFormat="false" ht="15" hidden="false" customHeight="false" outlineLevel="0" collapsed="false">
      <c r="A1084" s="0" t="s">
        <v>1115</v>
      </c>
      <c r="B1084" s="2" t="n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0</v>
      </c>
      <c r="P1084" s="0" t="n">
        <v>49.1</v>
      </c>
    </row>
    <row r="1085" customFormat="false" ht="15" hidden="false" customHeight="false" outlineLevel="0" collapsed="false">
      <c r="A1085" s="0" t="s">
        <v>1116</v>
      </c>
      <c r="B1085" s="2" t="n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P1085" s="0" t="n">
        <v>92.7</v>
      </c>
    </row>
    <row r="1086" customFormat="false" ht="15" hidden="false" customHeight="false" outlineLevel="0" collapsed="false">
      <c r="A1086" s="0" t="s">
        <v>1117</v>
      </c>
      <c r="B1086" s="2" t="n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0" t="n">
        <v>1</v>
      </c>
      <c r="I1086" s="0" t="n">
        <v>1</v>
      </c>
      <c r="J1086" s="0" t="n">
        <v>1</v>
      </c>
      <c r="K1086" s="0" t="n">
        <v>0</v>
      </c>
      <c r="L1086" s="0" t="n">
        <v>0</v>
      </c>
      <c r="M1086" s="0" t="n">
        <v>1</v>
      </c>
      <c r="N1086" s="0" t="n">
        <v>0</v>
      </c>
      <c r="P1086" s="0" t="n">
        <v>58.7</v>
      </c>
    </row>
    <row r="1087" customFormat="false" ht="15" hidden="false" customHeight="false" outlineLevel="0" collapsed="false">
      <c r="A1087" s="0" t="s">
        <v>1118</v>
      </c>
      <c r="B1087" s="2" t="n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0" t="n">
        <v>1</v>
      </c>
      <c r="I1087" s="0" t="n">
        <v>1</v>
      </c>
      <c r="J1087" s="0" t="n">
        <v>1</v>
      </c>
      <c r="K1087" s="0" t="n">
        <v>0</v>
      </c>
      <c r="L1087" s="0" t="n">
        <v>0</v>
      </c>
      <c r="M1087" s="0" t="n">
        <v>0</v>
      </c>
      <c r="N1087" s="0" t="n">
        <v>0</v>
      </c>
      <c r="P1087" s="0" t="n">
        <v>59.3</v>
      </c>
    </row>
    <row r="1088" customFormat="false" ht="15" hidden="false" customHeight="false" outlineLevel="0" collapsed="false">
      <c r="A1088" s="0" t="s">
        <v>1119</v>
      </c>
      <c r="B1088" s="2" t="n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0" t="n">
        <v>1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P1088" s="0" t="n">
        <v>62</v>
      </c>
    </row>
    <row r="1089" customFormat="false" ht="15" hidden="false" customHeight="false" outlineLevel="0" collapsed="false">
      <c r="A1089" s="0" t="s">
        <v>1120</v>
      </c>
      <c r="B1089" s="2" t="n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0" t="n">
        <v>1</v>
      </c>
      <c r="I1089" s="0" t="n">
        <v>1</v>
      </c>
      <c r="J1089" s="0" t="n">
        <v>1</v>
      </c>
      <c r="K1089" s="0" t="n">
        <v>0</v>
      </c>
      <c r="L1089" s="0" t="n">
        <v>0</v>
      </c>
      <c r="M1089" s="0" t="n">
        <v>1</v>
      </c>
      <c r="N1089" s="0" t="n">
        <v>0</v>
      </c>
      <c r="P1089" s="0" t="n">
        <v>60.3</v>
      </c>
    </row>
    <row r="1090" customFormat="false" ht="15" hidden="false" customHeight="false" outlineLevel="0" collapsed="false">
      <c r="A1090" s="0" t="s">
        <v>1121</v>
      </c>
      <c r="B1090" s="2" t="n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0" t="n">
        <v>1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P1090" s="0" t="n">
        <v>70.5</v>
      </c>
    </row>
    <row r="1091" customFormat="false" ht="15" hidden="false" customHeight="false" outlineLevel="0" collapsed="false">
      <c r="A1091" s="0" t="s">
        <v>1122</v>
      </c>
      <c r="B1091" s="2" t="n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0" t="n">
        <v>1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P1091" s="0" t="n">
        <v>36.8</v>
      </c>
    </row>
    <row r="1092" customFormat="false" ht="15" hidden="false" customHeight="false" outlineLevel="0" collapsed="false">
      <c r="A1092" s="0" t="s">
        <v>1123</v>
      </c>
      <c r="B1092" s="2" t="n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0</v>
      </c>
      <c r="P1092" s="0" t="n">
        <v>73.2</v>
      </c>
    </row>
    <row r="1093" customFormat="false" ht="15" hidden="false" customHeight="false" outlineLevel="0" collapsed="false">
      <c r="A1093" s="0" t="s">
        <v>1124</v>
      </c>
      <c r="B1093" s="2" t="n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P1093" s="0" t="n">
        <v>70.1</v>
      </c>
    </row>
    <row r="1094" customFormat="false" ht="15" hidden="false" customHeight="false" outlineLevel="0" collapsed="false">
      <c r="A1094" s="0" t="s">
        <v>1125</v>
      </c>
      <c r="B1094" s="2" t="n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0" t="n">
        <v>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P1094" s="0" t="n">
        <v>76.4</v>
      </c>
    </row>
    <row r="1095" customFormat="false" ht="15" hidden="false" customHeight="false" outlineLevel="0" collapsed="false">
      <c r="A1095" s="0" t="s">
        <v>1126</v>
      </c>
      <c r="B1095" s="2" t="n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P1095" s="0" t="n">
        <v>46.4</v>
      </c>
    </row>
    <row r="1096" customFormat="false" ht="15" hidden="false" customHeight="false" outlineLevel="0" collapsed="false">
      <c r="A1096" s="0" t="s">
        <v>1127</v>
      </c>
      <c r="B1096" s="2" t="n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0" t="n">
        <v>1</v>
      </c>
      <c r="I1096" s="0" t="n">
        <v>1</v>
      </c>
      <c r="J1096" s="0" t="n">
        <v>1</v>
      </c>
      <c r="K1096" s="0" t="n">
        <v>0</v>
      </c>
      <c r="L1096" s="0" t="n">
        <v>0</v>
      </c>
      <c r="M1096" s="0" t="n">
        <v>1</v>
      </c>
      <c r="N1096" s="0" t="n">
        <v>0</v>
      </c>
      <c r="P1096" s="0" t="n">
        <v>81.3</v>
      </c>
    </row>
    <row r="1097" customFormat="false" ht="15" hidden="false" customHeight="false" outlineLevel="0" collapsed="false">
      <c r="A1097" s="0" t="s">
        <v>1128</v>
      </c>
      <c r="B1097" s="2" t="n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0" t="n">
        <v>1</v>
      </c>
      <c r="I1097" s="0" t="n">
        <v>1</v>
      </c>
      <c r="J1097" s="0" t="n">
        <v>1</v>
      </c>
      <c r="K1097" s="0" t="n">
        <v>0</v>
      </c>
      <c r="L1097" s="0" t="n">
        <v>0</v>
      </c>
      <c r="M1097" s="0" t="n">
        <v>0</v>
      </c>
      <c r="N1097" s="0" t="n">
        <v>0</v>
      </c>
      <c r="P1097" s="0" t="n">
        <v>55.3</v>
      </c>
    </row>
    <row r="1098" customFormat="false" ht="15" hidden="false" customHeight="false" outlineLevel="0" collapsed="false">
      <c r="A1098" s="0" t="s">
        <v>1129</v>
      </c>
      <c r="B1098" s="2" t="n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0" t="n">
        <v>1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P1098" s="0" t="n">
        <v>44.7</v>
      </c>
    </row>
    <row r="1099" customFormat="false" ht="15" hidden="false" customHeight="false" outlineLevel="0" collapsed="false">
      <c r="A1099" s="0" t="s">
        <v>1130</v>
      </c>
      <c r="B1099" s="2" t="n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0" t="n">
        <v>1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P1099" s="0" t="n">
        <v>67.2</v>
      </c>
    </row>
    <row r="1100" customFormat="false" ht="15" hidden="false" customHeight="false" outlineLevel="0" collapsed="false">
      <c r="A1100" s="0" t="s">
        <v>1131</v>
      </c>
      <c r="B1100" s="2" t="n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0" t="n">
        <v>1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</row>
    <row r="1101" customFormat="false" ht="15" hidden="false" customHeight="false" outlineLevel="0" collapsed="false">
      <c r="A1101" s="0" t="s">
        <v>1132</v>
      </c>
      <c r="B1101" s="2" t="n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0" t="n">
        <v>1</v>
      </c>
      <c r="I1101" s="0" t="n">
        <v>1</v>
      </c>
      <c r="J1101" s="0" t="n">
        <v>1</v>
      </c>
      <c r="K1101" s="0" t="n">
        <v>0</v>
      </c>
      <c r="L1101" s="0" t="n">
        <v>0</v>
      </c>
      <c r="M1101" s="0" t="n">
        <v>1</v>
      </c>
      <c r="N1101" s="0" t="n">
        <v>0</v>
      </c>
      <c r="P1101" s="0" t="n">
        <v>70.8</v>
      </c>
    </row>
    <row r="1102" customFormat="false" ht="15" hidden="false" customHeight="false" outlineLevel="0" collapsed="false">
      <c r="A1102" s="0" t="s">
        <v>1133</v>
      </c>
      <c r="B1102" s="2" t="n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0" t="n">
        <v>1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P1102" s="0" t="n">
        <v>71.3</v>
      </c>
    </row>
    <row r="1103" customFormat="false" ht="15" hidden="false" customHeight="false" outlineLevel="0" collapsed="false">
      <c r="A1103" s="0" t="s">
        <v>1134</v>
      </c>
      <c r="B1103" s="2" t="n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0" t="n">
        <v>1</v>
      </c>
      <c r="I1103" s="0" t="n">
        <v>1</v>
      </c>
      <c r="J1103" s="0" t="n">
        <v>1</v>
      </c>
      <c r="K1103" s="0" t="n">
        <v>0</v>
      </c>
      <c r="L1103" s="0" t="n">
        <v>0</v>
      </c>
      <c r="M1103" s="0" t="n">
        <v>0</v>
      </c>
      <c r="N1103" s="0" t="n">
        <v>0</v>
      </c>
      <c r="P1103" s="0" t="n">
        <v>69.4</v>
      </c>
    </row>
    <row r="1104" customFormat="false" ht="15" hidden="false" customHeight="false" outlineLevel="0" collapsed="false">
      <c r="A1104" s="0" t="s">
        <v>1135</v>
      </c>
      <c r="B1104" s="2" t="n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0" t="n">
        <v>1</v>
      </c>
      <c r="I1104" s="0" t="n">
        <v>1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P1104" s="0" t="n">
        <v>58.9</v>
      </c>
    </row>
    <row r="1105" customFormat="false" ht="15" hidden="false" customHeight="false" outlineLevel="0" collapsed="false">
      <c r="A1105" s="0" t="s">
        <v>1136</v>
      </c>
      <c r="B1105" s="2" t="n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P1105" s="0" t="n">
        <v>70.7</v>
      </c>
    </row>
    <row r="1106" customFormat="false" ht="15" hidden="false" customHeight="false" outlineLevel="0" collapsed="false">
      <c r="A1106" s="0" t="s">
        <v>1137</v>
      </c>
      <c r="B1106" s="2" t="n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0" t="n">
        <v>1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P1106" s="0" t="n">
        <v>60.5</v>
      </c>
    </row>
    <row r="1107" customFormat="false" ht="15" hidden="false" customHeight="false" outlineLevel="0" collapsed="false">
      <c r="A1107" s="0" t="s">
        <v>1138</v>
      </c>
      <c r="B1107" s="2" t="n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0" t="n">
        <v>1</v>
      </c>
      <c r="I1107" s="0" t="n">
        <v>1</v>
      </c>
      <c r="J1107" s="0" t="n">
        <v>1</v>
      </c>
      <c r="K1107" s="0" t="n">
        <v>0</v>
      </c>
      <c r="L1107" s="0" t="n">
        <v>0</v>
      </c>
      <c r="M1107" s="0" t="n">
        <v>0</v>
      </c>
      <c r="N1107" s="0" t="n">
        <v>0</v>
      </c>
      <c r="P1107" s="0" t="n">
        <v>77.3</v>
      </c>
    </row>
    <row r="1108" customFormat="false" ht="15" hidden="false" customHeight="false" outlineLevel="0" collapsed="false">
      <c r="A1108" s="0" t="s">
        <v>1139</v>
      </c>
      <c r="B1108" s="2" t="n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0</v>
      </c>
      <c r="P1108" s="0" t="n">
        <v>39.5</v>
      </c>
    </row>
    <row r="1109" customFormat="false" ht="15" hidden="false" customHeight="false" outlineLevel="0" collapsed="false">
      <c r="A1109" s="0" t="s">
        <v>1140</v>
      </c>
      <c r="B1109" s="2" t="n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0" t="n">
        <v>1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P1109" s="0" t="n">
        <v>68.1</v>
      </c>
    </row>
    <row r="1110" customFormat="false" ht="15" hidden="false" customHeight="false" outlineLevel="0" collapsed="false">
      <c r="A1110" s="0" t="s">
        <v>1141</v>
      </c>
      <c r="B1110" s="2" t="n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P1110" s="0" t="n">
        <v>80.3</v>
      </c>
    </row>
    <row r="1111" customFormat="false" ht="15" hidden="false" customHeight="false" outlineLevel="0" collapsed="false">
      <c r="A1111" s="0" t="s">
        <v>1142</v>
      </c>
      <c r="B1111" s="2" t="n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0" t="n">
        <v>1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P1111" s="0" t="n">
        <v>77.7</v>
      </c>
    </row>
    <row r="1112" customFormat="false" ht="15" hidden="false" customHeight="false" outlineLevel="0" collapsed="false">
      <c r="A1112" s="0" t="s">
        <v>1143</v>
      </c>
      <c r="B1112" s="2" t="n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0" t="n">
        <v>1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0</v>
      </c>
      <c r="P1112" s="0" t="n">
        <v>66.2</v>
      </c>
    </row>
    <row r="1113" customFormat="false" ht="15" hidden="false" customHeight="false" outlineLevel="0" collapsed="false">
      <c r="A1113" s="0" t="s">
        <v>1144</v>
      </c>
      <c r="B1113" s="2" t="n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0" t="n">
        <v>1</v>
      </c>
      <c r="I1113" s="0" t="n">
        <v>1</v>
      </c>
      <c r="J1113" s="0" t="n">
        <v>1</v>
      </c>
      <c r="K1113" s="0" t="n">
        <v>0</v>
      </c>
      <c r="L1113" s="0" t="n">
        <v>0</v>
      </c>
      <c r="M1113" s="0" t="n">
        <v>1</v>
      </c>
      <c r="N1113" s="0" t="n">
        <v>0</v>
      </c>
      <c r="P1113" s="0" t="n">
        <v>43.9</v>
      </c>
    </row>
    <row r="1114" customFormat="false" ht="15" hidden="false" customHeight="false" outlineLevel="0" collapsed="false">
      <c r="A1114" s="0" t="s">
        <v>1145</v>
      </c>
      <c r="B1114" s="2" t="n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0" t="n">
        <v>1</v>
      </c>
      <c r="I1114" s="0" t="n">
        <v>1</v>
      </c>
      <c r="J1114" s="0" t="n">
        <v>1</v>
      </c>
      <c r="K1114" s="0" t="n">
        <v>0</v>
      </c>
      <c r="L1114" s="0" t="n">
        <v>0</v>
      </c>
      <c r="M1114" s="0" t="n">
        <v>2</v>
      </c>
      <c r="N1114" s="0" t="n">
        <v>0</v>
      </c>
      <c r="P1114" s="0" t="n">
        <v>59.1</v>
      </c>
    </row>
    <row r="1115" customFormat="false" ht="15" hidden="false" customHeight="false" outlineLevel="0" collapsed="false">
      <c r="A1115" s="0" t="s">
        <v>1146</v>
      </c>
      <c r="B1115" s="2" t="n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0" t="n">
        <v>1</v>
      </c>
      <c r="I1115" s="0" t="n">
        <v>1</v>
      </c>
      <c r="J1115" s="0" t="n">
        <v>1</v>
      </c>
      <c r="K1115" s="0" t="n">
        <v>1</v>
      </c>
      <c r="L1115" s="0" t="n">
        <v>416.94</v>
      </c>
      <c r="M1115" s="0" t="n">
        <v>1</v>
      </c>
      <c r="N1115" s="0" t="n">
        <v>0</v>
      </c>
      <c r="O1115" s="0" t="n">
        <v>11</v>
      </c>
      <c r="P1115" s="0" t="n">
        <v>67</v>
      </c>
    </row>
    <row r="1116" customFormat="false" ht="15" hidden="false" customHeight="false" outlineLevel="0" collapsed="false">
      <c r="A1116" s="0" t="s">
        <v>1147</v>
      </c>
      <c r="B1116" s="2" t="n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0" t="n">
        <v>1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P1116" s="0" t="n">
        <v>47.9</v>
      </c>
    </row>
    <row r="1117" customFormat="false" ht="15" hidden="false" customHeight="false" outlineLevel="0" collapsed="false">
      <c r="A1117" s="0" t="s">
        <v>1148</v>
      </c>
      <c r="B1117" s="2" t="n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0" t="n">
        <v>1</v>
      </c>
      <c r="I1117" s="0" t="n">
        <v>1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P1117" s="0" t="n">
        <v>41.5</v>
      </c>
    </row>
    <row r="1118" customFormat="false" ht="15" hidden="false" customHeight="false" outlineLevel="0" collapsed="false">
      <c r="A1118" s="0" t="s">
        <v>1149</v>
      </c>
      <c r="B1118" s="2" t="n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0" t="n">
        <v>1</v>
      </c>
      <c r="I1118" s="0" t="n">
        <v>1</v>
      </c>
      <c r="J1118" s="0" t="n">
        <v>1</v>
      </c>
      <c r="K1118" s="0" t="n">
        <v>0</v>
      </c>
      <c r="L1118" s="0" t="n">
        <v>0</v>
      </c>
      <c r="M1118" s="0" t="n">
        <v>3</v>
      </c>
      <c r="N1118" s="0" t="n">
        <v>0</v>
      </c>
      <c r="P1118" s="0" t="n">
        <v>30.6</v>
      </c>
    </row>
    <row r="1119" customFormat="false" ht="15" hidden="false" customHeight="false" outlineLevel="0" collapsed="false">
      <c r="A1119" s="0" t="s">
        <v>1150</v>
      </c>
      <c r="B1119" s="2" t="n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0" t="n">
        <v>1</v>
      </c>
      <c r="I1119" s="0" t="n">
        <v>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P1119" s="0" t="n">
        <v>91.5</v>
      </c>
    </row>
    <row r="1120" customFormat="false" ht="15" hidden="false" customHeight="false" outlineLevel="0" collapsed="false">
      <c r="A1120" s="0" t="s">
        <v>1151</v>
      </c>
      <c r="B1120" s="2" t="n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0" t="n">
        <v>1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P1120" s="0" t="n">
        <v>80.8</v>
      </c>
    </row>
    <row r="1121" customFormat="false" ht="15" hidden="false" customHeight="false" outlineLevel="0" collapsed="false">
      <c r="A1121" s="0" t="s">
        <v>1152</v>
      </c>
      <c r="B1121" s="2" t="n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0" t="n">
        <v>1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P1121" s="0" t="n">
        <v>68.1</v>
      </c>
    </row>
    <row r="1122" customFormat="false" ht="15" hidden="false" customHeight="false" outlineLevel="0" collapsed="false">
      <c r="A1122" s="0" t="s">
        <v>1153</v>
      </c>
      <c r="B1122" s="2" t="n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0" t="n">
        <v>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P1122" s="0" t="n">
        <v>80.3</v>
      </c>
    </row>
    <row r="1123" customFormat="false" ht="15" hidden="false" customHeight="false" outlineLevel="0" collapsed="false">
      <c r="A1123" s="0" t="s">
        <v>1154</v>
      </c>
      <c r="B1123" s="2" t="n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0" t="n">
        <v>1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P1123" s="0" t="n">
        <v>44.4</v>
      </c>
    </row>
    <row r="1124" customFormat="false" ht="15" hidden="false" customHeight="false" outlineLevel="0" collapsed="false">
      <c r="A1124" s="0" t="s">
        <v>1155</v>
      </c>
      <c r="B1124" s="2" t="n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P1124" s="0" t="n">
        <v>51.9</v>
      </c>
    </row>
    <row r="1125" customFormat="false" ht="15" hidden="false" customHeight="false" outlineLevel="0" collapsed="false">
      <c r="A1125" s="0" t="s">
        <v>1156</v>
      </c>
      <c r="B1125" s="2" t="n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0" t="n">
        <v>1</v>
      </c>
      <c r="I1125" s="0" t="n">
        <v>1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P1125" s="0" t="n">
        <v>49.8</v>
      </c>
    </row>
    <row r="1126" customFormat="false" ht="15" hidden="false" customHeight="false" outlineLevel="0" collapsed="false">
      <c r="A1126" s="0" t="s">
        <v>1157</v>
      </c>
      <c r="B1126" s="2" t="n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0" t="n">
        <v>1</v>
      </c>
      <c r="I1126" s="0" t="n">
        <v>1</v>
      </c>
      <c r="J1126" s="0" t="n">
        <v>1</v>
      </c>
      <c r="K1126" s="0" t="n">
        <v>0</v>
      </c>
      <c r="L1126" s="0" t="n">
        <v>0</v>
      </c>
      <c r="M1126" s="0" t="n">
        <v>3</v>
      </c>
      <c r="N1126" s="0" t="n">
        <v>0</v>
      </c>
      <c r="P1126" s="0" t="n">
        <v>62.1</v>
      </c>
    </row>
    <row r="1127" customFormat="false" ht="15" hidden="false" customHeight="false" outlineLevel="0" collapsed="false">
      <c r="A1127" s="0" t="s">
        <v>1158</v>
      </c>
      <c r="B1127" s="2" t="n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0" t="n">
        <v>1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P1127" s="0" t="n">
        <v>91.3</v>
      </c>
    </row>
    <row r="1128" customFormat="false" ht="15" hidden="false" customHeight="false" outlineLevel="0" collapsed="false">
      <c r="A1128" s="0" t="s">
        <v>1159</v>
      </c>
      <c r="B1128" s="2" t="n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0" t="n">
        <v>1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P1128" s="0" t="n">
        <v>66.4</v>
      </c>
    </row>
    <row r="1129" customFormat="false" ht="15" hidden="false" customHeight="false" outlineLevel="0" collapsed="false">
      <c r="A1129" s="0" t="s">
        <v>1160</v>
      </c>
      <c r="B1129" s="2" t="n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0" t="n">
        <v>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P1129" s="0" t="n">
        <v>41.5</v>
      </c>
    </row>
    <row r="1130" customFormat="false" ht="15" hidden="false" customHeight="false" outlineLevel="0" collapsed="false">
      <c r="A1130" s="0" t="s">
        <v>1161</v>
      </c>
      <c r="B1130" s="2" t="n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P1130" s="0" t="n">
        <v>77.1</v>
      </c>
    </row>
    <row r="1131" customFormat="false" ht="15" hidden="false" customHeight="false" outlineLevel="0" collapsed="false">
      <c r="A1131" s="0" t="s">
        <v>1162</v>
      </c>
      <c r="B1131" s="2" t="n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0" t="n">
        <v>1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P1131" s="0" t="n">
        <v>63.2</v>
      </c>
    </row>
    <row r="1132" customFormat="false" ht="15" hidden="false" customHeight="false" outlineLevel="0" collapsed="false">
      <c r="A1132" s="0" t="s">
        <v>1163</v>
      </c>
      <c r="B1132" s="2" t="n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0" t="n">
        <v>1</v>
      </c>
      <c r="I1132" s="0" t="n">
        <v>1</v>
      </c>
      <c r="J1132" s="0" t="n">
        <v>1</v>
      </c>
      <c r="K1132" s="0" t="n">
        <v>0</v>
      </c>
      <c r="L1132" s="0" t="n">
        <v>0</v>
      </c>
      <c r="M1132" s="0" t="n">
        <v>3</v>
      </c>
      <c r="N1132" s="0" t="n">
        <v>0</v>
      </c>
      <c r="P1132" s="0" t="n">
        <v>75.7</v>
      </c>
    </row>
    <row r="1133" customFormat="false" ht="15" hidden="false" customHeight="false" outlineLevel="0" collapsed="false">
      <c r="A1133" s="0" t="s">
        <v>1164</v>
      </c>
      <c r="B1133" s="2" t="n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P1133" s="0" t="n">
        <v>62.9</v>
      </c>
    </row>
    <row r="1134" customFormat="false" ht="15" hidden="false" customHeight="false" outlineLevel="0" collapsed="false">
      <c r="A1134" s="0" t="s">
        <v>1165</v>
      </c>
      <c r="B1134" s="2" t="n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0" t="n">
        <v>1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3</v>
      </c>
      <c r="N1134" s="0" t="n">
        <v>0</v>
      </c>
      <c r="P1134" s="0" t="n">
        <v>64.6</v>
      </c>
    </row>
    <row r="1135" customFormat="false" ht="15" hidden="false" customHeight="false" outlineLevel="0" collapsed="false">
      <c r="A1135" s="0" t="s">
        <v>1166</v>
      </c>
      <c r="B1135" s="2" t="n">
        <v>45765</v>
      </c>
      <c r="C1135" s="3" t="s">
        <v>723</v>
      </c>
      <c r="D1135" s="3" t="s">
        <v>18</v>
      </c>
      <c r="E1135" s="3" t="s">
        <v>24</v>
      </c>
      <c r="G1135" s="3" t="s">
        <v>21</v>
      </c>
      <c r="H1135" s="0" t="n">
        <v>1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P1135" s="0" t="n">
        <v>76.6</v>
      </c>
    </row>
    <row r="1136" customFormat="false" ht="15" hidden="false" customHeight="false" outlineLevel="0" collapsed="false">
      <c r="A1136" s="0" t="s">
        <v>1167</v>
      </c>
      <c r="B1136" s="2" t="n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0" t="n">
        <v>1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P1136" s="0" t="n">
        <v>74.8</v>
      </c>
    </row>
    <row r="1137" customFormat="false" ht="15" hidden="false" customHeight="false" outlineLevel="0" collapsed="false">
      <c r="A1137" s="0" t="s">
        <v>1168</v>
      </c>
      <c r="B1137" s="2" t="n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0" t="n">
        <v>1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2</v>
      </c>
      <c r="N1137" s="0" t="n">
        <v>0</v>
      </c>
      <c r="P1137" s="0" t="n">
        <v>38.1</v>
      </c>
    </row>
    <row r="1138" customFormat="false" ht="15" hidden="false" customHeight="false" outlineLevel="0" collapsed="false">
      <c r="A1138" s="0" t="s">
        <v>1169</v>
      </c>
      <c r="B1138" s="2" t="n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0" t="n">
        <v>1</v>
      </c>
      <c r="I1138" s="0" t="n">
        <v>1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P1138" s="0" t="n">
        <v>60.2</v>
      </c>
    </row>
    <row r="1139" customFormat="false" ht="15" hidden="false" customHeight="false" outlineLevel="0" collapsed="false">
      <c r="A1139" s="0" t="s">
        <v>1170</v>
      </c>
      <c r="B1139" s="2" t="n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0" t="n">
        <v>1</v>
      </c>
      <c r="I1139" s="0" t="n">
        <v>1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P1139" s="0" t="n">
        <v>73.5</v>
      </c>
    </row>
    <row r="1140" customFormat="false" ht="15" hidden="false" customHeight="false" outlineLevel="0" collapsed="false">
      <c r="A1140" s="0" t="s">
        <v>1171</v>
      </c>
      <c r="B1140" s="2" t="n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0" t="n">
        <v>1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P1140" s="0" t="n">
        <v>70.9</v>
      </c>
    </row>
    <row r="1141" customFormat="false" ht="15" hidden="false" customHeight="false" outlineLevel="0" collapsed="false">
      <c r="A1141" s="0" t="s">
        <v>1172</v>
      </c>
      <c r="B1141" s="2" t="n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0" t="n">
        <v>1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P1141" s="0" t="n">
        <v>63.7</v>
      </c>
    </row>
    <row r="1142" customFormat="false" ht="15" hidden="false" customHeight="false" outlineLevel="0" collapsed="false">
      <c r="A1142" s="0" t="s">
        <v>1173</v>
      </c>
      <c r="B1142" s="2" t="n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0" t="n">
        <v>1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P1142" s="0" t="n">
        <v>86.5</v>
      </c>
    </row>
    <row r="1143" customFormat="false" ht="15" hidden="false" customHeight="false" outlineLevel="0" collapsed="false">
      <c r="A1143" s="0" t="s">
        <v>1174</v>
      </c>
      <c r="B1143" s="2" t="n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0" t="n">
        <v>1</v>
      </c>
      <c r="I1143" s="0" t="n">
        <v>1</v>
      </c>
      <c r="J1143" s="0" t="n">
        <v>1</v>
      </c>
      <c r="K1143" s="0" t="n">
        <v>1</v>
      </c>
      <c r="L1143" s="0" t="n">
        <v>921.72</v>
      </c>
      <c r="M1143" s="0" t="n">
        <v>3</v>
      </c>
      <c r="N1143" s="0" t="n">
        <v>0</v>
      </c>
      <c r="O1143" s="0" t="n">
        <v>7</v>
      </c>
      <c r="P1143" s="0" t="n">
        <v>74.6</v>
      </c>
    </row>
    <row r="1144" customFormat="false" ht="15" hidden="false" customHeight="false" outlineLevel="0" collapsed="false">
      <c r="A1144" s="0" t="s">
        <v>1175</v>
      </c>
      <c r="B1144" s="2" t="n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0" t="n">
        <v>1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P1144" s="0" t="n">
        <v>46.6</v>
      </c>
    </row>
    <row r="1145" customFormat="false" ht="15" hidden="false" customHeight="false" outlineLevel="0" collapsed="false">
      <c r="A1145" s="0" t="s">
        <v>1176</v>
      </c>
      <c r="B1145" s="2" t="n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P1145" s="0" t="n">
        <v>61.2</v>
      </c>
    </row>
    <row r="1146" customFormat="false" ht="15" hidden="false" customHeight="false" outlineLevel="0" collapsed="false">
      <c r="A1146" s="0" t="s">
        <v>1177</v>
      </c>
      <c r="B1146" s="2" t="n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0" t="n">
        <v>1</v>
      </c>
      <c r="I1146" s="0" t="n">
        <v>1</v>
      </c>
      <c r="J1146" s="0" t="n">
        <v>1</v>
      </c>
      <c r="K1146" s="0" t="n">
        <v>1</v>
      </c>
      <c r="L1146" s="0" t="n">
        <v>290.39</v>
      </c>
      <c r="M1146" s="0" t="n">
        <v>0</v>
      </c>
      <c r="N1146" s="0" t="n">
        <v>0</v>
      </c>
      <c r="O1146" s="0" t="n">
        <v>4</v>
      </c>
      <c r="P1146" s="0" t="n">
        <v>54.4</v>
      </c>
    </row>
    <row r="1147" customFormat="false" ht="15" hidden="false" customHeight="false" outlineLevel="0" collapsed="false">
      <c r="A1147" s="0" t="s">
        <v>1178</v>
      </c>
      <c r="B1147" s="2" t="n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0" t="n">
        <v>1</v>
      </c>
      <c r="I1147" s="0" t="n">
        <v>1</v>
      </c>
      <c r="J1147" s="0" t="n">
        <v>1</v>
      </c>
      <c r="K1147" s="0" t="n">
        <v>0</v>
      </c>
      <c r="L1147" s="0" t="n">
        <v>0</v>
      </c>
      <c r="M1147" s="0" t="n">
        <v>0</v>
      </c>
      <c r="N1147" s="0" t="n">
        <v>0</v>
      </c>
      <c r="P1147" s="0" t="n">
        <v>72</v>
      </c>
    </row>
    <row r="1148" customFormat="false" ht="15" hidden="false" customHeight="false" outlineLevel="0" collapsed="false">
      <c r="A1148" s="0" t="s">
        <v>1179</v>
      </c>
      <c r="B1148" s="2" t="n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0" t="n">
        <v>1</v>
      </c>
      <c r="I1148" s="0" t="n">
        <v>1</v>
      </c>
      <c r="J1148" s="0" t="n">
        <v>1</v>
      </c>
      <c r="K1148" s="0" t="n">
        <v>1</v>
      </c>
      <c r="L1148" s="0" t="n">
        <v>1858.85</v>
      </c>
      <c r="M1148" s="0" t="n">
        <v>0</v>
      </c>
      <c r="N1148" s="0" t="n">
        <v>0</v>
      </c>
      <c r="O1148" s="0" t="n">
        <v>8</v>
      </c>
      <c r="P1148" s="0" t="n">
        <v>88.6</v>
      </c>
    </row>
    <row r="1149" customFormat="false" ht="15" hidden="false" customHeight="false" outlineLevel="0" collapsed="false">
      <c r="A1149" s="0" t="s">
        <v>1180</v>
      </c>
      <c r="B1149" s="2" t="n">
        <v>45803</v>
      </c>
      <c r="C1149" s="3" t="s">
        <v>723</v>
      </c>
      <c r="D1149" s="3" t="s">
        <v>28</v>
      </c>
      <c r="E1149" s="3" t="s">
        <v>19</v>
      </c>
      <c r="G1149" s="3" t="s">
        <v>21</v>
      </c>
      <c r="H1149" s="0" t="n">
        <v>1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P1149" s="0" t="n">
        <v>77.6</v>
      </c>
    </row>
    <row r="1150" customFormat="false" ht="15" hidden="false" customHeight="false" outlineLevel="0" collapsed="false">
      <c r="A1150" s="0" t="s">
        <v>1181</v>
      </c>
      <c r="B1150" s="2" t="n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0" t="n">
        <v>1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0</v>
      </c>
      <c r="P1150" s="0" t="n">
        <v>44.3</v>
      </c>
    </row>
    <row r="1151" customFormat="false" ht="15" hidden="false" customHeight="false" outlineLevel="0" collapsed="false">
      <c r="A1151" s="0" t="s">
        <v>1182</v>
      </c>
      <c r="B1151" s="2" t="n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0" t="n">
        <v>1</v>
      </c>
      <c r="I1151" s="0" t="n">
        <v>1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P1151" s="0" t="n">
        <v>49</v>
      </c>
    </row>
    <row r="1152" customFormat="false" ht="15" hidden="false" customHeight="false" outlineLevel="0" collapsed="false">
      <c r="A1152" s="0" t="s">
        <v>1183</v>
      </c>
      <c r="B1152" s="2" t="n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0" t="n">
        <v>1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P1152" s="0" t="n">
        <v>53.9</v>
      </c>
    </row>
    <row r="1153" customFormat="false" ht="15" hidden="false" customHeight="false" outlineLevel="0" collapsed="false">
      <c r="A1153" s="0" t="s">
        <v>1184</v>
      </c>
      <c r="B1153" s="2" t="n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0" t="n">
        <v>1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0</v>
      </c>
      <c r="P1153" s="0" t="n">
        <v>69</v>
      </c>
    </row>
    <row r="1154" customFormat="false" ht="15" hidden="false" customHeight="false" outlineLevel="0" collapsed="false">
      <c r="A1154" s="0" t="s">
        <v>1185</v>
      </c>
      <c r="B1154" s="2" t="n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P1154" s="0" t="n">
        <v>37.4</v>
      </c>
    </row>
    <row r="1155" customFormat="false" ht="15" hidden="false" customHeight="false" outlineLevel="0" collapsed="false">
      <c r="A1155" s="0" t="s">
        <v>1186</v>
      </c>
      <c r="B1155" s="2" t="n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P1155" s="0" t="n">
        <v>59</v>
      </c>
    </row>
    <row r="1156" customFormat="false" ht="15" hidden="false" customHeight="false" outlineLevel="0" collapsed="false">
      <c r="A1156" s="0" t="s">
        <v>1187</v>
      </c>
      <c r="B1156" s="2" t="n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0" t="n">
        <v>1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P1156" s="0" t="n">
        <v>60.8</v>
      </c>
    </row>
    <row r="1157" customFormat="false" ht="15" hidden="false" customHeight="false" outlineLevel="0" collapsed="false">
      <c r="A1157" s="0" t="s">
        <v>1188</v>
      </c>
      <c r="B1157" s="2" t="n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0" t="n">
        <v>1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P1157" s="0" t="n">
        <v>57.5</v>
      </c>
    </row>
    <row r="1158" customFormat="false" ht="15" hidden="false" customHeight="false" outlineLevel="0" collapsed="false">
      <c r="A1158" s="0" t="s">
        <v>1189</v>
      </c>
      <c r="B1158" s="2" t="n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P1158" s="0" t="n">
        <v>84.2</v>
      </c>
    </row>
    <row r="1159" customFormat="false" ht="15" hidden="false" customHeight="false" outlineLevel="0" collapsed="false">
      <c r="A1159" s="0" t="s">
        <v>1190</v>
      </c>
      <c r="B1159" s="2" t="n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0" t="n">
        <v>1</v>
      </c>
      <c r="I1159" s="0" t="n">
        <v>1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P1159" s="0" t="n">
        <v>27.4</v>
      </c>
    </row>
    <row r="1160" customFormat="false" ht="15" hidden="false" customHeight="false" outlineLevel="0" collapsed="false">
      <c r="A1160" s="0" t="s">
        <v>1191</v>
      </c>
      <c r="B1160" s="2" t="n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0" t="n">
        <v>1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0</v>
      </c>
      <c r="P1160" s="0" t="n">
        <v>67.6</v>
      </c>
    </row>
    <row r="1161" customFormat="false" ht="15" hidden="false" customHeight="false" outlineLevel="0" collapsed="false">
      <c r="A1161" s="0" t="s">
        <v>1192</v>
      </c>
      <c r="B1161" s="2" t="n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P1161" s="0" t="n">
        <v>68.4</v>
      </c>
    </row>
    <row r="1162" customFormat="false" ht="15" hidden="false" customHeight="false" outlineLevel="0" collapsed="false">
      <c r="A1162" s="0" t="s">
        <v>1193</v>
      </c>
      <c r="B1162" s="2" t="n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0" t="n">
        <v>1</v>
      </c>
      <c r="I1162" s="0" t="n">
        <v>1</v>
      </c>
      <c r="J1162" s="0" t="n">
        <v>1</v>
      </c>
      <c r="K1162" s="0" t="n">
        <v>0</v>
      </c>
      <c r="L1162" s="0" t="n">
        <v>0</v>
      </c>
      <c r="M1162" s="0" t="n">
        <v>0</v>
      </c>
      <c r="N1162" s="0" t="n">
        <v>0</v>
      </c>
      <c r="P1162" s="0" t="n">
        <v>66.5</v>
      </c>
    </row>
    <row r="1163" customFormat="false" ht="15" hidden="false" customHeight="false" outlineLevel="0" collapsed="false">
      <c r="A1163" s="0" t="s">
        <v>1194</v>
      </c>
      <c r="B1163" s="2" t="n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0" t="n">
        <v>1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P1163" s="0" t="n">
        <v>38.2</v>
      </c>
    </row>
    <row r="1164" customFormat="false" ht="15" hidden="false" customHeight="false" outlineLevel="0" collapsed="false">
      <c r="A1164" s="0" t="s">
        <v>1195</v>
      </c>
      <c r="B1164" s="2" t="n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0</v>
      </c>
      <c r="P1164" s="0" t="n">
        <v>66.7</v>
      </c>
    </row>
    <row r="1165" customFormat="false" ht="15" hidden="false" customHeight="false" outlineLevel="0" collapsed="false">
      <c r="A1165" s="0" t="s">
        <v>1196</v>
      </c>
      <c r="B1165" s="2" t="n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0</v>
      </c>
      <c r="P1165" s="0" t="n">
        <v>73.7</v>
      </c>
    </row>
    <row r="1166" customFormat="false" ht="15" hidden="false" customHeight="false" outlineLevel="0" collapsed="false">
      <c r="A1166" s="0" t="s">
        <v>1197</v>
      </c>
      <c r="B1166" s="2" t="n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0" t="n">
        <v>1</v>
      </c>
      <c r="I1166" s="0" t="n">
        <v>1</v>
      </c>
      <c r="J1166" s="0" t="n">
        <v>1</v>
      </c>
      <c r="K1166" s="0" t="n">
        <v>0</v>
      </c>
      <c r="L1166" s="0" t="n">
        <v>0</v>
      </c>
      <c r="M1166" s="0" t="n">
        <v>0</v>
      </c>
      <c r="N1166" s="0" t="n">
        <v>0</v>
      </c>
      <c r="P1166" s="0" t="n">
        <v>63.9</v>
      </c>
    </row>
    <row r="1167" customFormat="false" ht="15" hidden="false" customHeight="false" outlineLevel="0" collapsed="false">
      <c r="A1167" s="0" t="s">
        <v>1198</v>
      </c>
      <c r="B1167" s="2" t="n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0" t="n">
        <v>1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0</v>
      </c>
      <c r="P1167" s="0" t="n">
        <v>82.6</v>
      </c>
    </row>
    <row r="1168" customFormat="false" ht="15" hidden="false" customHeight="false" outlineLevel="0" collapsed="false">
      <c r="A1168" s="0" t="s">
        <v>1199</v>
      </c>
      <c r="B1168" s="2" t="n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0</v>
      </c>
      <c r="P1168" s="0" t="n">
        <v>58.3</v>
      </c>
    </row>
    <row r="1169" customFormat="false" ht="15" hidden="false" customHeight="false" outlineLevel="0" collapsed="false">
      <c r="A1169" s="0" t="s">
        <v>1200</v>
      </c>
      <c r="B1169" s="2" t="n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0" t="n">
        <v>1</v>
      </c>
      <c r="I1169" s="0" t="n">
        <v>1</v>
      </c>
      <c r="J1169" s="0" t="n">
        <v>1</v>
      </c>
      <c r="K1169" s="0" t="n">
        <v>1</v>
      </c>
      <c r="L1169" s="0" t="n">
        <v>1547.06</v>
      </c>
      <c r="M1169" s="0" t="n">
        <v>0</v>
      </c>
      <c r="N1169" s="0" t="n">
        <v>1</v>
      </c>
      <c r="O1169" s="0" t="n">
        <v>2</v>
      </c>
      <c r="P1169" s="0" t="n">
        <v>72.9</v>
      </c>
    </row>
    <row r="1170" customFormat="false" ht="15" hidden="false" customHeight="false" outlineLevel="0" collapsed="false">
      <c r="A1170" s="0" t="s">
        <v>1201</v>
      </c>
      <c r="B1170" s="2" t="n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0" t="n">
        <v>1</v>
      </c>
      <c r="I1170" s="0" t="n">
        <v>1</v>
      </c>
      <c r="J1170" s="0" t="n">
        <v>1</v>
      </c>
      <c r="K1170" s="0" t="n">
        <v>0</v>
      </c>
      <c r="L1170" s="0" t="n">
        <v>0</v>
      </c>
      <c r="M1170" s="0" t="n">
        <v>2</v>
      </c>
      <c r="N1170" s="0" t="n">
        <v>0</v>
      </c>
      <c r="P1170" s="0" t="n">
        <v>53.5</v>
      </c>
    </row>
    <row r="1171" customFormat="false" ht="15" hidden="false" customHeight="false" outlineLevel="0" collapsed="false">
      <c r="A1171" s="0" t="s">
        <v>1202</v>
      </c>
      <c r="B1171" s="2" t="n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0" t="n">
        <v>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P1171" s="0" t="n">
        <v>54.8</v>
      </c>
    </row>
    <row r="1172" customFormat="false" ht="15" hidden="false" customHeight="false" outlineLevel="0" collapsed="false">
      <c r="A1172" s="0" t="s">
        <v>1203</v>
      </c>
      <c r="B1172" s="2" t="n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0" t="n">
        <v>1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P1172" s="0" t="n">
        <v>69.5</v>
      </c>
    </row>
    <row r="1173" customFormat="false" ht="15" hidden="false" customHeight="false" outlineLevel="0" collapsed="false">
      <c r="A1173" s="0" t="s">
        <v>1204</v>
      </c>
      <c r="B1173" s="2" t="n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0" t="n">
        <v>1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0</v>
      </c>
      <c r="P1173" s="0" t="n">
        <v>71.3</v>
      </c>
    </row>
    <row r="1174" customFormat="false" ht="15" hidden="false" customHeight="false" outlineLevel="0" collapsed="false">
      <c r="A1174" s="0" t="s">
        <v>1205</v>
      </c>
      <c r="B1174" s="2" t="n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0" t="n">
        <v>1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0</v>
      </c>
      <c r="P1174" s="0" t="n">
        <v>57.5</v>
      </c>
    </row>
    <row r="1175" customFormat="false" ht="15" hidden="false" customHeight="false" outlineLevel="0" collapsed="false">
      <c r="A1175" s="0" t="s">
        <v>1206</v>
      </c>
      <c r="B1175" s="2" t="n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0" t="n">
        <v>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4</v>
      </c>
      <c r="N1175" s="0" t="n">
        <v>0</v>
      </c>
      <c r="P1175" s="0" t="n">
        <v>50.9</v>
      </c>
    </row>
    <row r="1176" customFormat="false" ht="15" hidden="false" customHeight="false" outlineLevel="0" collapsed="false">
      <c r="A1176" s="0" t="s">
        <v>1207</v>
      </c>
      <c r="B1176" s="2" t="n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0" t="n">
        <v>1</v>
      </c>
      <c r="I1176" s="0" t="n">
        <v>1</v>
      </c>
      <c r="J1176" s="0" t="n">
        <v>1</v>
      </c>
      <c r="K1176" s="0" t="n">
        <v>0</v>
      </c>
      <c r="L1176" s="0" t="n">
        <v>0</v>
      </c>
      <c r="M1176" s="0" t="n">
        <v>0</v>
      </c>
      <c r="N1176" s="0" t="n">
        <v>0</v>
      </c>
      <c r="P1176" s="0" t="n">
        <v>69.3</v>
      </c>
    </row>
    <row r="1177" customFormat="false" ht="15" hidden="false" customHeight="false" outlineLevel="0" collapsed="false">
      <c r="A1177" s="0" t="s">
        <v>1208</v>
      </c>
      <c r="B1177" s="2" t="n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0" t="n">
        <v>1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P1177" s="0" t="n">
        <v>50.1</v>
      </c>
    </row>
    <row r="1178" customFormat="false" ht="15" hidden="false" customHeight="false" outlineLevel="0" collapsed="false">
      <c r="A1178" s="0" t="s">
        <v>1209</v>
      </c>
      <c r="B1178" s="2" t="n">
        <v>45692</v>
      </c>
      <c r="C1178" s="3" t="s">
        <v>723</v>
      </c>
      <c r="D1178" s="3" t="s">
        <v>28</v>
      </c>
      <c r="F1178" s="3" t="s">
        <v>29</v>
      </c>
      <c r="G1178" s="3" t="s">
        <v>21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P1178" s="0" t="n">
        <v>69.7</v>
      </c>
    </row>
    <row r="1179" customFormat="false" ht="15" hidden="false" customHeight="false" outlineLevel="0" collapsed="false">
      <c r="A1179" s="0" t="s">
        <v>1210</v>
      </c>
      <c r="B1179" s="2" t="n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P1179" s="0" t="n">
        <v>63.5</v>
      </c>
    </row>
    <row r="1180" customFormat="false" ht="15" hidden="false" customHeight="false" outlineLevel="0" collapsed="false">
      <c r="A1180" s="0" t="s">
        <v>1211</v>
      </c>
      <c r="B1180" s="2" t="n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0" t="n">
        <v>1</v>
      </c>
      <c r="I1180" s="0" t="n">
        <v>1</v>
      </c>
      <c r="J1180" s="0" t="n">
        <v>1</v>
      </c>
      <c r="K1180" s="0" t="n">
        <v>1</v>
      </c>
      <c r="L1180" s="0" t="n">
        <v>265.59</v>
      </c>
      <c r="M1180" s="0" t="n">
        <v>1</v>
      </c>
      <c r="N1180" s="0" t="n">
        <v>0</v>
      </c>
      <c r="O1180" s="0" t="n">
        <v>8</v>
      </c>
      <c r="P1180" s="0" t="n">
        <v>80.4</v>
      </c>
    </row>
    <row r="1181" customFormat="false" ht="15" hidden="false" customHeight="false" outlineLevel="0" collapsed="false">
      <c r="A1181" s="0" t="s">
        <v>1212</v>
      </c>
      <c r="B1181" s="2" t="n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P1181" s="0" t="n">
        <v>58.9</v>
      </c>
    </row>
    <row r="1182" customFormat="false" ht="15" hidden="false" customHeight="false" outlineLevel="0" collapsed="false">
      <c r="A1182" s="0" t="s">
        <v>1213</v>
      </c>
      <c r="B1182" s="2" t="n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0" t="n">
        <v>1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P1182" s="0" t="n">
        <v>56.8</v>
      </c>
    </row>
    <row r="1183" customFormat="false" ht="15" hidden="false" customHeight="false" outlineLevel="0" collapsed="false">
      <c r="A1183" s="0" t="s">
        <v>1214</v>
      </c>
      <c r="B1183" s="2" t="n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P1183" s="0" t="n">
        <v>73.9</v>
      </c>
    </row>
    <row r="1184" customFormat="false" ht="15" hidden="false" customHeight="false" outlineLevel="0" collapsed="false">
      <c r="A1184" s="0" t="s">
        <v>1215</v>
      </c>
      <c r="B1184" s="2" t="n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P1184" s="0" t="n">
        <v>76.3</v>
      </c>
    </row>
    <row r="1185" customFormat="false" ht="15" hidden="false" customHeight="false" outlineLevel="0" collapsed="false">
      <c r="A1185" s="0" t="s">
        <v>1216</v>
      </c>
      <c r="B1185" s="2" t="n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0" t="n">
        <v>1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P1185" s="0" t="n">
        <v>56.9</v>
      </c>
    </row>
    <row r="1186" customFormat="false" ht="15" hidden="false" customHeight="false" outlineLevel="0" collapsed="false">
      <c r="A1186" s="0" t="s">
        <v>1217</v>
      </c>
      <c r="B1186" s="2" t="n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0" t="n">
        <v>1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2</v>
      </c>
      <c r="N1186" s="0" t="n">
        <v>0</v>
      </c>
      <c r="P1186" s="0" t="n">
        <v>49.4</v>
      </c>
    </row>
    <row r="1187" customFormat="false" ht="15" hidden="false" customHeight="false" outlineLevel="0" collapsed="false">
      <c r="A1187" s="0" t="s">
        <v>1218</v>
      </c>
      <c r="B1187" s="2" t="n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0" t="n">
        <v>1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P1187" s="0" t="n">
        <v>86.7</v>
      </c>
    </row>
    <row r="1188" customFormat="false" ht="15" hidden="false" customHeight="false" outlineLevel="0" collapsed="false">
      <c r="A1188" s="0" t="s">
        <v>1219</v>
      </c>
      <c r="B1188" s="2" t="n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0" t="n">
        <v>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3</v>
      </c>
      <c r="N1188" s="0" t="n">
        <v>0</v>
      </c>
      <c r="P1188" s="0" t="n">
        <v>69</v>
      </c>
    </row>
    <row r="1189" customFormat="false" ht="15" hidden="false" customHeight="false" outlineLevel="0" collapsed="false">
      <c r="A1189" s="0" t="s">
        <v>1220</v>
      </c>
      <c r="B1189" s="2" t="n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P1189" s="0" t="n">
        <v>84.5</v>
      </c>
    </row>
    <row r="1190" customFormat="false" ht="15" hidden="false" customHeight="false" outlineLevel="0" collapsed="false">
      <c r="A1190" s="0" t="s">
        <v>1221</v>
      </c>
      <c r="B1190" s="2" t="n">
        <v>45763</v>
      </c>
      <c r="C1190" s="3" t="s">
        <v>723</v>
      </c>
      <c r="D1190" s="3" t="s">
        <v>28</v>
      </c>
      <c r="F1190" s="3" t="s">
        <v>39</v>
      </c>
      <c r="G1190" s="3" t="s">
        <v>26</v>
      </c>
      <c r="H1190" s="0" t="n">
        <v>1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P1190" s="0" t="n">
        <v>66.3</v>
      </c>
    </row>
    <row r="1191" customFormat="false" ht="15" hidden="false" customHeight="false" outlineLevel="0" collapsed="false">
      <c r="A1191" s="0" t="s">
        <v>1222</v>
      </c>
      <c r="B1191" s="2" t="n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P1191" s="0" t="n">
        <v>52.2</v>
      </c>
    </row>
    <row r="1192" customFormat="false" ht="15" hidden="false" customHeight="false" outlineLevel="0" collapsed="false">
      <c r="A1192" s="0" t="s">
        <v>1223</v>
      </c>
      <c r="B1192" s="2" t="n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0" t="n">
        <v>1</v>
      </c>
      <c r="I1192" s="0" t="n">
        <v>1</v>
      </c>
      <c r="J1192" s="0" t="n">
        <v>1</v>
      </c>
      <c r="K1192" s="0" t="n">
        <v>0</v>
      </c>
      <c r="L1192" s="0" t="n">
        <v>0</v>
      </c>
      <c r="M1192" s="0" t="n">
        <v>0</v>
      </c>
      <c r="N1192" s="0" t="n">
        <v>0</v>
      </c>
      <c r="P1192" s="0" t="n">
        <v>81.2</v>
      </c>
    </row>
    <row r="1193" customFormat="false" ht="15" hidden="false" customHeight="false" outlineLevel="0" collapsed="false">
      <c r="A1193" s="0" t="s">
        <v>1224</v>
      </c>
      <c r="B1193" s="2" t="n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P1193" s="0" t="n">
        <v>53.9</v>
      </c>
    </row>
    <row r="1194" customFormat="false" ht="15" hidden="false" customHeight="false" outlineLevel="0" collapsed="false">
      <c r="A1194" s="0" t="s">
        <v>1225</v>
      </c>
      <c r="B1194" s="2" t="n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P1194" s="0" t="n">
        <v>39.1</v>
      </c>
    </row>
    <row r="1195" customFormat="false" ht="15" hidden="false" customHeight="false" outlineLevel="0" collapsed="false">
      <c r="A1195" s="0" t="s">
        <v>1226</v>
      </c>
      <c r="B1195" s="2" t="n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P1195" s="0" t="n">
        <v>57.3</v>
      </c>
    </row>
    <row r="1196" customFormat="false" ht="15" hidden="false" customHeight="false" outlineLevel="0" collapsed="false">
      <c r="A1196" s="0" t="s">
        <v>1227</v>
      </c>
      <c r="B1196" s="2" t="n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0" t="n">
        <v>1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0</v>
      </c>
      <c r="P1196" s="0" t="n">
        <v>65.9</v>
      </c>
    </row>
    <row r="1197" customFormat="false" ht="15" hidden="false" customHeight="false" outlineLevel="0" collapsed="false">
      <c r="A1197" s="0" t="s">
        <v>1228</v>
      </c>
      <c r="B1197" s="2" t="n">
        <v>45710</v>
      </c>
      <c r="C1197" s="3" t="s">
        <v>723</v>
      </c>
      <c r="D1197" s="3" t="s">
        <v>18</v>
      </c>
      <c r="F1197" s="3" t="s">
        <v>41</v>
      </c>
      <c r="G1197" s="3" t="s">
        <v>26</v>
      </c>
      <c r="H1197" s="0" t="n">
        <v>1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0</v>
      </c>
      <c r="P1197" s="0" t="n">
        <v>34.2</v>
      </c>
    </row>
    <row r="1198" customFormat="false" ht="15" hidden="false" customHeight="false" outlineLevel="0" collapsed="false">
      <c r="A1198" s="0" t="s">
        <v>1229</v>
      </c>
      <c r="B1198" s="2" t="n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P1198" s="0" t="n">
        <v>47.2</v>
      </c>
    </row>
    <row r="1199" customFormat="false" ht="15" hidden="false" customHeight="false" outlineLevel="0" collapsed="false">
      <c r="A1199" s="0" t="s">
        <v>1230</v>
      </c>
      <c r="B1199" s="2" t="n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0" t="n">
        <v>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0</v>
      </c>
      <c r="P1199" s="0" t="n">
        <v>55</v>
      </c>
    </row>
    <row r="1200" customFormat="false" ht="15" hidden="false" customHeight="false" outlineLevel="0" collapsed="false">
      <c r="A1200" s="0" t="s">
        <v>1231</v>
      </c>
      <c r="B1200" s="2" t="n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0" t="n">
        <v>1</v>
      </c>
      <c r="I1200" s="0" t="n">
        <v>1</v>
      </c>
      <c r="J1200" s="0" t="n">
        <v>1</v>
      </c>
      <c r="K1200" s="0" t="n">
        <v>0</v>
      </c>
      <c r="L1200" s="0" t="n">
        <v>0</v>
      </c>
      <c r="M1200" s="0" t="n">
        <v>0</v>
      </c>
      <c r="N1200" s="0" t="n">
        <v>0</v>
      </c>
      <c r="P1200" s="0" t="n">
        <v>76.4</v>
      </c>
    </row>
    <row r="1201" customFormat="false" ht="15" hidden="false" customHeight="false" outlineLevel="0" collapsed="false">
      <c r="A1201" s="0" t="s">
        <v>1232</v>
      </c>
      <c r="B1201" s="2" t="n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0" t="n">
        <v>1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P1201" s="0" t="n">
        <v>70.8</v>
      </c>
    </row>
    <row r="1202" customFormat="false" ht="15" hidden="false" customHeight="false" outlineLevel="0" collapsed="false">
      <c r="A1202" s="0" t="s">
        <v>1233</v>
      </c>
      <c r="B1202" s="2" t="n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0" t="n">
        <v>1</v>
      </c>
      <c r="I1202" s="0" t="n">
        <v>1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0</v>
      </c>
      <c r="P1202" s="0" t="n">
        <v>58</v>
      </c>
    </row>
    <row r="1203" customFormat="false" ht="15" hidden="false" customHeight="false" outlineLevel="0" collapsed="false">
      <c r="A1203" s="0" t="s">
        <v>1234</v>
      </c>
      <c r="B1203" s="2" t="n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0" t="n">
        <v>1</v>
      </c>
      <c r="I1203" s="0" t="n">
        <v>1</v>
      </c>
      <c r="J1203" s="0" t="n">
        <v>1</v>
      </c>
      <c r="K1203" s="0" t="n">
        <v>0</v>
      </c>
      <c r="L1203" s="0" t="n">
        <v>0</v>
      </c>
      <c r="M1203" s="0" t="n">
        <v>1</v>
      </c>
      <c r="N1203" s="0" t="n">
        <v>0</v>
      </c>
      <c r="P1203" s="0" t="n">
        <v>70.8</v>
      </c>
    </row>
    <row r="1204" customFormat="false" ht="15" hidden="false" customHeight="false" outlineLevel="0" collapsed="false">
      <c r="A1204" s="0" t="s">
        <v>1235</v>
      </c>
      <c r="B1204" s="2" t="n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0" t="n">
        <v>1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3</v>
      </c>
      <c r="N1204" s="0" t="n">
        <v>0</v>
      </c>
      <c r="P1204" s="0" t="n">
        <v>60</v>
      </c>
    </row>
    <row r="1205" customFormat="false" ht="15" hidden="false" customHeight="false" outlineLevel="0" collapsed="false">
      <c r="A1205" s="0" t="s">
        <v>1236</v>
      </c>
      <c r="B1205" s="2" t="n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0" t="n">
        <v>1</v>
      </c>
      <c r="I1205" s="0" t="n">
        <v>1</v>
      </c>
      <c r="J1205" s="0" t="n">
        <v>1</v>
      </c>
      <c r="K1205" s="0" t="n">
        <v>0</v>
      </c>
      <c r="L1205" s="0" t="n">
        <v>0</v>
      </c>
      <c r="M1205" s="0" t="n">
        <v>3</v>
      </c>
      <c r="N1205" s="0" t="n">
        <v>0</v>
      </c>
      <c r="P1205" s="0" t="n">
        <v>58.1</v>
      </c>
    </row>
    <row r="1206" customFormat="false" ht="15" hidden="false" customHeight="false" outlineLevel="0" collapsed="false">
      <c r="A1206" s="0" t="s">
        <v>1237</v>
      </c>
      <c r="B1206" s="2" t="n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P1206" s="0" t="n">
        <v>59.7</v>
      </c>
    </row>
    <row r="1207" customFormat="false" ht="15" hidden="false" customHeight="false" outlineLevel="0" collapsed="false">
      <c r="A1207" s="0" t="s">
        <v>1238</v>
      </c>
      <c r="B1207" s="2" t="n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P1207" s="0" t="n">
        <v>47.7</v>
      </c>
    </row>
    <row r="1208" customFormat="false" ht="15" hidden="false" customHeight="false" outlineLevel="0" collapsed="false">
      <c r="A1208" s="0" t="s">
        <v>1239</v>
      </c>
      <c r="B1208" s="2" t="n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P1208" s="0" t="n">
        <v>59.1</v>
      </c>
    </row>
    <row r="1209" customFormat="false" ht="15" hidden="false" customHeight="false" outlineLevel="0" collapsed="false">
      <c r="A1209" s="0" t="s">
        <v>1240</v>
      </c>
      <c r="B1209" s="2" t="n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0" t="n">
        <v>1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1</v>
      </c>
      <c r="N1209" s="0" t="n">
        <v>0</v>
      </c>
      <c r="P1209" s="0" t="n">
        <v>68.7</v>
      </c>
    </row>
    <row r="1210" customFormat="false" ht="15" hidden="false" customHeight="false" outlineLevel="0" collapsed="false">
      <c r="A1210" s="0" t="s">
        <v>1241</v>
      </c>
      <c r="B1210" s="2" t="n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P1210" s="0" t="n">
        <v>34.7</v>
      </c>
    </row>
    <row r="1211" customFormat="false" ht="15" hidden="false" customHeight="false" outlineLevel="0" collapsed="false">
      <c r="A1211" s="0" t="s">
        <v>1242</v>
      </c>
      <c r="B1211" s="2" t="n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0" t="n">
        <v>1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P1211" s="0" t="n">
        <v>62</v>
      </c>
    </row>
    <row r="1212" customFormat="false" ht="15" hidden="false" customHeight="false" outlineLevel="0" collapsed="false">
      <c r="A1212" s="0" t="s">
        <v>1243</v>
      </c>
      <c r="B1212" s="2" t="n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0" t="n">
        <v>1</v>
      </c>
      <c r="I1212" s="0" t="n">
        <v>1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P1212" s="0" t="n">
        <v>56</v>
      </c>
    </row>
    <row r="1213" customFormat="false" ht="15" hidden="false" customHeight="false" outlineLevel="0" collapsed="false">
      <c r="A1213" s="0" t="s">
        <v>1244</v>
      </c>
      <c r="B1213" s="2" t="n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0" t="n">
        <v>1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0</v>
      </c>
      <c r="P1213" s="0" t="n">
        <v>65.8</v>
      </c>
    </row>
    <row r="1214" customFormat="false" ht="15" hidden="false" customHeight="false" outlineLevel="0" collapsed="false">
      <c r="A1214" s="0" t="s">
        <v>1245</v>
      </c>
      <c r="B1214" s="2" t="n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P1214" s="0" t="n">
        <v>54.7</v>
      </c>
    </row>
    <row r="1215" customFormat="false" ht="15" hidden="false" customHeight="false" outlineLevel="0" collapsed="false">
      <c r="A1215" s="0" t="s">
        <v>1246</v>
      </c>
      <c r="B1215" s="2" t="n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0" t="n">
        <v>1</v>
      </c>
      <c r="I1215" s="0" t="n">
        <v>1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P1215" s="0" t="n">
        <v>64.1</v>
      </c>
    </row>
    <row r="1216" customFormat="false" ht="15" hidden="false" customHeight="false" outlineLevel="0" collapsed="false">
      <c r="A1216" s="0" t="s">
        <v>1247</v>
      </c>
      <c r="B1216" s="2" t="n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0" t="n">
        <v>1</v>
      </c>
      <c r="I1216" s="0" t="n">
        <v>1</v>
      </c>
      <c r="J1216" s="0" t="n">
        <v>1</v>
      </c>
      <c r="K1216" s="0" t="n">
        <v>0</v>
      </c>
      <c r="L1216" s="0" t="n">
        <v>0</v>
      </c>
      <c r="M1216" s="0" t="n">
        <v>0</v>
      </c>
      <c r="N1216" s="0" t="n">
        <v>0</v>
      </c>
      <c r="P1216" s="0" t="n">
        <v>71.6</v>
      </c>
    </row>
    <row r="1217" customFormat="false" ht="15" hidden="false" customHeight="false" outlineLevel="0" collapsed="false">
      <c r="A1217" s="0" t="s">
        <v>1248</v>
      </c>
      <c r="B1217" s="2" t="n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0" t="n">
        <v>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P1217" s="0" t="n">
        <v>78.4</v>
      </c>
    </row>
    <row r="1218" customFormat="false" ht="15" hidden="false" customHeight="false" outlineLevel="0" collapsed="false">
      <c r="A1218" s="0" t="s">
        <v>1249</v>
      </c>
      <c r="B1218" s="2" t="n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P1218" s="0" t="n">
        <v>49.3</v>
      </c>
    </row>
    <row r="1219" customFormat="false" ht="15" hidden="false" customHeight="false" outlineLevel="0" collapsed="false">
      <c r="A1219" s="0" t="s">
        <v>1250</v>
      </c>
      <c r="B1219" s="2" t="n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P1219" s="0" t="n">
        <v>52.8</v>
      </c>
    </row>
    <row r="1220" customFormat="false" ht="15" hidden="false" customHeight="false" outlineLevel="0" collapsed="false">
      <c r="A1220" s="0" t="s">
        <v>1251</v>
      </c>
      <c r="B1220" s="2" t="n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P1220" s="0" t="n">
        <v>58.5</v>
      </c>
    </row>
    <row r="1221" customFormat="false" ht="15" hidden="false" customHeight="false" outlineLevel="0" collapsed="false">
      <c r="A1221" s="0" t="s">
        <v>1252</v>
      </c>
      <c r="B1221" s="2" t="n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0" t="n">
        <v>1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P1221" s="0" t="n">
        <v>55.9</v>
      </c>
    </row>
    <row r="1222" customFormat="false" ht="15" hidden="false" customHeight="false" outlineLevel="0" collapsed="false">
      <c r="A1222" s="0" t="s">
        <v>1253</v>
      </c>
      <c r="B1222" s="2" t="n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0" t="n">
        <v>1</v>
      </c>
      <c r="I1222" s="0" t="n">
        <v>1</v>
      </c>
      <c r="J1222" s="0" t="n">
        <v>1</v>
      </c>
      <c r="K1222" s="0" t="n">
        <v>1</v>
      </c>
      <c r="L1222" s="0" t="n">
        <v>351.43</v>
      </c>
      <c r="M1222" s="0" t="n">
        <v>1</v>
      </c>
      <c r="N1222" s="0" t="n">
        <v>0</v>
      </c>
      <c r="O1222" s="0" t="n">
        <v>6</v>
      </c>
      <c r="P1222" s="0" t="n">
        <v>74.9</v>
      </c>
    </row>
    <row r="1223" customFormat="false" ht="15" hidden="false" customHeight="false" outlineLevel="0" collapsed="false">
      <c r="A1223" s="0" t="s">
        <v>1254</v>
      </c>
      <c r="B1223" s="2" t="n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0" t="n">
        <v>1</v>
      </c>
      <c r="I1223" s="0" t="n">
        <v>1</v>
      </c>
      <c r="J1223" s="0" t="n">
        <v>1</v>
      </c>
      <c r="K1223" s="0" t="n">
        <v>1</v>
      </c>
      <c r="L1223" s="0" t="n">
        <v>352.42</v>
      </c>
      <c r="M1223" s="0" t="n">
        <v>0</v>
      </c>
      <c r="N1223" s="0" t="n">
        <v>0</v>
      </c>
      <c r="O1223" s="0" t="n">
        <v>4</v>
      </c>
      <c r="P1223" s="0" t="n">
        <v>58.5</v>
      </c>
    </row>
    <row r="1224" customFormat="false" ht="15" hidden="false" customHeight="false" outlineLevel="0" collapsed="false">
      <c r="A1224" s="0" t="s">
        <v>1255</v>
      </c>
      <c r="B1224" s="2" t="n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P1224" s="0" t="n">
        <v>63.5</v>
      </c>
    </row>
    <row r="1225" customFormat="false" ht="15" hidden="false" customHeight="false" outlineLevel="0" collapsed="false">
      <c r="A1225" s="0" t="s">
        <v>1256</v>
      </c>
      <c r="B1225" s="2" t="n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0" t="n">
        <v>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0</v>
      </c>
      <c r="P1225" s="0" t="n">
        <v>64.8</v>
      </c>
    </row>
    <row r="1226" customFormat="false" ht="15" hidden="false" customHeight="false" outlineLevel="0" collapsed="false">
      <c r="A1226" s="0" t="s">
        <v>1257</v>
      </c>
      <c r="B1226" s="2" t="n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P1226" s="0" t="n">
        <v>63.3</v>
      </c>
    </row>
    <row r="1227" customFormat="false" ht="15" hidden="false" customHeight="false" outlineLevel="0" collapsed="false">
      <c r="A1227" s="0" t="s">
        <v>1258</v>
      </c>
      <c r="B1227" s="2" t="n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0" t="n">
        <v>1</v>
      </c>
      <c r="I1227" s="0" t="n">
        <v>1</v>
      </c>
      <c r="J1227" s="0" t="n">
        <v>1</v>
      </c>
      <c r="K1227" s="0" t="n">
        <v>1</v>
      </c>
      <c r="L1227" s="0" t="n">
        <v>1074.16</v>
      </c>
      <c r="M1227" s="0" t="n">
        <v>0</v>
      </c>
      <c r="N1227" s="0" t="n">
        <v>0</v>
      </c>
      <c r="O1227" s="0" t="n">
        <v>8</v>
      </c>
      <c r="P1227" s="0" t="n">
        <v>83.7</v>
      </c>
    </row>
    <row r="1228" customFormat="false" ht="15" hidden="false" customHeight="false" outlineLevel="0" collapsed="false">
      <c r="A1228" s="0" t="s">
        <v>1259</v>
      </c>
      <c r="B1228" s="2" t="n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P1228" s="0" t="n">
        <v>88.7</v>
      </c>
    </row>
    <row r="1229" customFormat="false" ht="15" hidden="false" customHeight="false" outlineLevel="0" collapsed="false">
      <c r="A1229" s="0" t="s">
        <v>1260</v>
      </c>
      <c r="B1229" s="2" t="n">
        <v>45739</v>
      </c>
      <c r="C1229" s="3" t="s">
        <v>723</v>
      </c>
      <c r="D1229" s="3" t="s">
        <v>28</v>
      </c>
      <c r="F1229" s="3" t="s">
        <v>29</v>
      </c>
      <c r="G1229" s="3" t="s">
        <v>26</v>
      </c>
      <c r="H1229" s="0" t="n">
        <v>1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0</v>
      </c>
      <c r="P1229" s="0" t="n">
        <v>61.5</v>
      </c>
    </row>
    <row r="1230" customFormat="false" ht="15" hidden="false" customHeight="false" outlineLevel="0" collapsed="false">
      <c r="A1230" s="0" t="s">
        <v>1261</v>
      </c>
      <c r="B1230" s="2" t="n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P1230" s="0" t="n">
        <v>45.3</v>
      </c>
    </row>
    <row r="1231" customFormat="false" ht="15" hidden="false" customHeight="false" outlineLevel="0" collapsed="false">
      <c r="A1231" s="0" t="s">
        <v>1262</v>
      </c>
      <c r="B1231" s="2" t="n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0" t="n">
        <v>1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P1231" s="0" t="n">
        <v>37.3</v>
      </c>
    </row>
    <row r="1232" customFormat="false" ht="15" hidden="false" customHeight="false" outlineLevel="0" collapsed="false">
      <c r="A1232" s="0" t="s">
        <v>1263</v>
      </c>
      <c r="B1232" s="2" t="n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0" t="n">
        <v>1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0</v>
      </c>
      <c r="P1232" s="0" t="n">
        <v>76.1</v>
      </c>
    </row>
    <row r="1233" customFormat="false" ht="15" hidden="false" customHeight="false" outlineLevel="0" collapsed="false">
      <c r="A1233" s="0" t="s">
        <v>1264</v>
      </c>
      <c r="B1233" s="2" t="n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0" t="n">
        <v>1</v>
      </c>
      <c r="I1233" s="0" t="n">
        <v>1</v>
      </c>
      <c r="J1233" s="0" t="n">
        <v>1</v>
      </c>
      <c r="K1233" s="0" t="n">
        <v>0</v>
      </c>
      <c r="L1233" s="0" t="n">
        <v>0</v>
      </c>
      <c r="M1233" s="0" t="n">
        <v>1</v>
      </c>
      <c r="N1233" s="0" t="n">
        <v>0</v>
      </c>
      <c r="P1233" s="0" t="n">
        <v>72.5</v>
      </c>
    </row>
    <row r="1234" customFormat="false" ht="15" hidden="false" customHeight="false" outlineLevel="0" collapsed="false">
      <c r="A1234" s="0" t="s">
        <v>1265</v>
      </c>
      <c r="B1234" s="2" t="n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0" t="n">
        <v>1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P1234" s="0" t="n">
        <v>62.3</v>
      </c>
    </row>
    <row r="1235" customFormat="false" ht="15" hidden="false" customHeight="false" outlineLevel="0" collapsed="false">
      <c r="A1235" s="0" t="s">
        <v>1266</v>
      </c>
      <c r="B1235" s="2" t="n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P1235" s="0" t="n">
        <v>62.7</v>
      </c>
    </row>
    <row r="1236" customFormat="false" ht="15" hidden="false" customHeight="false" outlineLevel="0" collapsed="false">
      <c r="A1236" s="0" t="s">
        <v>1267</v>
      </c>
      <c r="B1236" s="2" t="n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P1236" s="0" t="n">
        <v>82.4</v>
      </c>
    </row>
    <row r="1237" customFormat="false" ht="15" hidden="false" customHeight="false" outlineLevel="0" collapsed="false">
      <c r="A1237" s="0" t="s">
        <v>1268</v>
      </c>
      <c r="B1237" s="2" t="n">
        <v>45693</v>
      </c>
      <c r="C1237" s="3" t="s">
        <v>723</v>
      </c>
      <c r="D1237" s="3" t="s">
        <v>23</v>
      </c>
      <c r="E1237" s="3" t="s">
        <v>24</v>
      </c>
      <c r="G1237" s="3" t="s">
        <v>30</v>
      </c>
      <c r="H1237" s="0" t="n">
        <v>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P1237" s="0" t="n">
        <v>78.9</v>
      </c>
    </row>
    <row r="1238" customFormat="false" ht="15" hidden="false" customHeight="false" outlineLevel="0" collapsed="false">
      <c r="A1238" s="0" t="s">
        <v>1269</v>
      </c>
      <c r="B1238" s="2" t="n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0" t="n">
        <v>1</v>
      </c>
      <c r="I1238" s="0" t="n">
        <v>1</v>
      </c>
      <c r="J1238" s="0" t="n">
        <v>1</v>
      </c>
      <c r="K1238" s="0" t="n">
        <v>1</v>
      </c>
      <c r="L1238" s="0" t="n">
        <v>618.91</v>
      </c>
      <c r="M1238" s="0" t="n">
        <v>0</v>
      </c>
      <c r="N1238" s="0" t="n">
        <v>0</v>
      </c>
      <c r="O1238" s="0" t="n">
        <v>4</v>
      </c>
      <c r="P1238" s="0" t="n">
        <v>67.8</v>
      </c>
    </row>
    <row r="1239" customFormat="false" ht="15" hidden="false" customHeight="false" outlineLevel="0" collapsed="false">
      <c r="A1239" s="0" t="s">
        <v>1270</v>
      </c>
      <c r="B1239" s="2" t="n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0" t="n">
        <v>1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P1239" s="0" t="n">
        <v>68.8</v>
      </c>
    </row>
    <row r="1240" customFormat="false" ht="15" hidden="false" customHeight="false" outlineLevel="0" collapsed="false">
      <c r="A1240" s="0" t="s">
        <v>1271</v>
      </c>
      <c r="B1240" s="2" t="n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0" t="n">
        <v>1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P1240" s="0" t="n">
        <v>67.7</v>
      </c>
    </row>
    <row r="1241" customFormat="false" ht="15" hidden="false" customHeight="false" outlineLevel="0" collapsed="false">
      <c r="A1241" s="0" t="s">
        <v>1272</v>
      </c>
      <c r="B1241" s="2" t="n">
        <v>45711</v>
      </c>
      <c r="C1241" s="3" t="s">
        <v>723</v>
      </c>
      <c r="D1241" s="3" t="s">
        <v>28</v>
      </c>
      <c r="E1241" s="3" t="s">
        <v>24</v>
      </c>
      <c r="G1241" s="3" t="s">
        <v>26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P1241" s="0" t="n">
        <v>88</v>
      </c>
    </row>
    <row r="1242" customFormat="false" ht="15" hidden="false" customHeight="false" outlineLevel="0" collapsed="false">
      <c r="A1242" s="0" t="s">
        <v>1273</v>
      </c>
      <c r="B1242" s="2" t="n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0" t="n">
        <v>1</v>
      </c>
      <c r="I1242" s="0" t="n">
        <v>1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P1242" s="0" t="n">
        <v>80.1</v>
      </c>
    </row>
    <row r="1243" customFormat="false" ht="15" hidden="false" customHeight="false" outlineLevel="0" collapsed="false">
      <c r="A1243" s="0" t="s">
        <v>1274</v>
      </c>
      <c r="B1243" s="2" t="n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0</v>
      </c>
      <c r="P1243" s="0" t="n">
        <v>48.2</v>
      </c>
    </row>
    <row r="1244" customFormat="false" ht="15" hidden="false" customHeight="false" outlineLevel="0" collapsed="false">
      <c r="A1244" s="0" t="s">
        <v>1275</v>
      </c>
      <c r="B1244" s="2" t="n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0" t="n">
        <v>1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P1244" s="0" t="n">
        <v>52.7</v>
      </c>
    </row>
    <row r="1245" customFormat="false" ht="15" hidden="false" customHeight="false" outlineLevel="0" collapsed="false">
      <c r="A1245" s="0" t="s">
        <v>1276</v>
      </c>
      <c r="B1245" s="2" t="n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0" t="n">
        <v>1</v>
      </c>
      <c r="I1245" s="0" t="n">
        <v>1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P1245" s="0" t="n">
        <v>59.9</v>
      </c>
    </row>
    <row r="1246" customFormat="false" ht="15" hidden="false" customHeight="false" outlineLevel="0" collapsed="false">
      <c r="A1246" s="0" t="s">
        <v>1277</v>
      </c>
      <c r="B1246" s="2" t="n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0" t="n">
        <v>1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P1246" s="0" t="n">
        <v>49.5</v>
      </c>
    </row>
    <row r="1247" customFormat="false" ht="15" hidden="false" customHeight="false" outlineLevel="0" collapsed="false">
      <c r="A1247" s="0" t="s">
        <v>1278</v>
      </c>
      <c r="B1247" s="2" t="n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0" t="n">
        <v>1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P1247" s="0" t="n">
        <v>41.5</v>
      </c>
    </row>
    <row r="1248" customFormat="false" ht="15" hidden="false" customHeight="false" outlineLevel="0" collapsed="false">
      <c r="A1248" s="0" t="s">
        <v>1279</v>
      </c>
      <c r="B1248" s="2" t="n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0" t="n">
        <v>1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P1248" s="0" t="n">
        <v>71.2</v>
      </c>
    </row>
    <row r="1249" customFormat="false" ht="15" hidden="false" customHeight="false" outlineLevel="0" collapsed="false">
      <c r="A1249" s="0" t="s">
        <v>1280</v>
      </c>
      <c r="B1249" s="2" t="n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0" t="n">
        <v>1</v>
      </c>
      <c r="I1249" s="0" t="n">
        <v>1</v>
      </c>
      <c r="J1249" s="0" t="n">
        <v>1</v>
      </c>
      <c r="K1249" s="0" t="n">
        <v>0</v>
      </c>
      <c r="L1249" s="0" t="n">
        <v>0</v>
      </c>
      <c r="M1249" s="0" t="n">
        <v>0</v>
      </c>
      <c r="N1249" s="0" t="n">
        <v>0</v>
      </c>
      <c r="P1249" s="0" t="n">
        <v>65.8</v>
      </c>
    </row>
    <row r="1250" customFormat="false" ht="15" hidden="false" customHeight="false" outlineLevel="0" collapsed="false">
      <c r="A1250" s="0" t="s">
        <v>1281</v>
      </c>
      <c r="B1250" s="2" t="n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0" t="n">
        <v>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0</v>
      </c>
      <c r="P1250" s="0" t="n">
        <v>55.1</v>
      </c>
    </row>
    <row r="1251" customFormat="false" ht="15" hidden="false" customHeight="false" outlineLevel="0" collapsed="false">
      <c r="A1251" s="0" t="s">
        <v>1282</v>
      </c>
      <c r="B1251" s="2" t="n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0" t="n">
        <v>1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P1251" s="0" t="n">
        <v>54.6</v>
      </c>
    </row>
    <row r="1252" customFormat="false" ht="15" hidden="false" customHeight="false" outlineLevel="0" collapsed="false">
      <c r="A1252" s="0" t="s">
        <v>1283</v>
      </c>
      <c r="B1252" s="2" t="n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0" t="n">
        <v>1</v>
      </c>
      <c r="I1252" s="0" t="n">
        <v>1</v>
      </c>
      <c r="J1252" s="0" t="n">
        <v>1</v>
      </c>
      <c r="K1252" s="0" t="n">
        <v>1</v>
      </c>
      <c r="L1252" s="0" t="n">
        <v>923.67</v>
      </c>
      <c r="M1252" s="0" t="n">
        <v>0</v>
      </c>
      <c r="N1252" s="0" t="n">
        <v>0</v>
      </c>
      <c r="O1252" s="0" t="n">
        <v>4</v>
      </c>
      <c r="P1252" s="0" t="n">
        <v>81.9</v>
      </c>
    </row>
    <row r="1253" customFormat="false" ht="15" hidden="false" customHeight="false" outlineLevel="0" collapsed="false">
      <c r="A1253" s="0" t="s">
        <v>1284</v>
      </c>
      <c r="B1253" s="2" t="n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0" t="n">
        <v>1</v>
      </c>
      <c r="I1253" s="0" t="n">
        <v>1</v>
      </c>
      <c r="J1253" s="0" t="n">
        <v>0</v>
      </c>
      <c r="K1253" s="0" t="n">
        <v>0</v>
      </c>
      <c r="L1253" s="0" t="n">
        <v>0</v>
      </c>
      <c r="M1253" s="0" t="n">
        <v>3</v>
      </c>
      <c r="N1253" s="0" t="n">
        <v>0</v>
      </c>
      <c r="P1253" s="0" t="n">
        <v>63.2</v>
      </c>
    </row>
    <row r="1254" customFormat="false" ht="15" hidden="false" customHeight="false" outlineLevel="0" collapsed="false">
      <c r="A1254" s="0" t="s">
        <v>1285</v>
      </c>
      <c r="B1254" s="2" t="n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0" t="n">
        <v>1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P1254" s="0" t="n">
        <v>55.4</v>
      </c>
    </row>
    <row r="1255" customFormat="false" ht="15" hidden="false" customHeight="false" outlineLevel="0" collapsed="false">
      <c r="A1255" s="0" t="s">
        <v>1286</v>
      </c>
      <c r="B1255" s="2" t="n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P1255" s="0" t="n">
        <v>87.5</v>
      </c>
    </row>
    <row r="1256" customFormat="false" ht="15" hidden="false" customHeight="false" outlineLevel="0" collapsed="false">
      <c r="A1256" s="0" t="s">
        <v>1287</v>
      </c>
      <c r="B1256" s="2" t="n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0" t="n">
        <v>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P1256" s="0" t="n">
        <v>48.5</v>
      </c>
    </row>
    <row r="1257" customFormat="false" ht="15" hidden="false" customHeight="false" outlineLevel="0" collapsed="false">
      <c r="A1257" s="0" t="s">
        <v>1288</v>
      </c>
      <c r="B1257" s="2" t="n">
        <v>45684</v>
      </c>
      <c r="C1257" s="3" t="s">
        <v>723</v>
      </c>
      <c r="D1257" s="3" t="s">
        <v>28</v>
      </c>
      <c r="E1257" s="3" t="s">
        <v>19</v>
      </c>
      <c r="G1257" s="3" t="s">
        <v>26</v>
      </c>
      <c r="H1257" s="0" t="n">
        <v>1</v>
      </c>
      <c r="I1257" s="0" t="n">
        <v>1</v>
      </c>
      <c r="J1257" s="0" t="n">
        <v>1</v>
      </c>
      <c r="K1257" s="0" t="n">
        <v>1</v>
      </c>
      <c r="L1257" s="0" t="n">
        <v>420.27</v>
      </c>
      <c r="M1257" s="0" t="n">
        <v>0</v>
      </c>
      <c r="N1257" s="0" t="n">
        <v>0</v>
      </c>
      <c r="O1257" s="0" t="n">
        <v>6</v>
      </c>
      <c r="P1257" s="0" t="n">
        <v>58.4</v>
      </c>
    </row>
    <row r="1258" customFormat="false" ht="15" hidden="false" customHeight="false" outlineLevel="0" collapsed="false">
      <c r="A1258" s="0" t="s">
        <v>1289</v>
      </c>
      <c r="B1258" s="2" t="n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P1258" s="0" t="n">
        <v>59.5</v>
      </c>
    </row>
    <row r="1259" customFormat="false" ht="15" hidden="false" customHeight="false" outlineLevel="0" collapsed="false">
      <c r="A1259" s="0" t="s">
        <v>1290</v>
      </c>
      <c r="B1259" s="2" t="n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0" t="n">
        <v>1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P1259" s="0" t="n">
        <v>93.2</v>
      </c>
    </row>
    <row r="1260" customFormat="false" ht="15" hidden="false" customHeight="false" outlineLevel="0" collapsed="false">
      <c r="A1260" s="0" t="s">
        <v>1291</v>
      </c>
      <c r="B1260" s="2" t="n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0" t="n">
        <v>1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P1260" s="0" t="n">
        <v>59</v>
      </c>
    </row>
    <row r="1261" customFormat="false" ht="15" hidden="false" customHeight="false" outlineLevel="0" collapsed="false">
      <c r="A1261" s="0" t="s">
        <v>1292</v>
      </c>
      <c r="B1261" s="2" t="n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0" t="n">
        <v>1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P1261" s="0" t="n">
        <v>37</v>
      </c>
    </row>
    <row r="1262" customFormat="false" ht="15" hidden="false" customHeight="false" outlineLevel="0" collapsed="false">
      <c r="A1262" s="0" t="s">
        <v>1293</v>
      </c>
      <c r="B1262" s="2" t="n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0" t="n">
        <v>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P1262" s="0" t="n">
        <v>47.5</v>
      </c>
    </row>
    <row r="1263" customFormat="false" ht="15" hidden="false" customHeight="false" outlineLevel="0" collapsed="false">
      <c r="A1263" s="0" t="s">
        <v>1294</v>
      </c>
      <c r="B1263" s="2" t="n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0" t="n">
        <v>1</v>
      </c>
      <c r="I1263" s="0" t="n">
        <v>1</v>
      </c>
      <c r="J1263" s="0" t="n">
        <v>1</v>
      </c>
      <c r="K1263" s="0" t="n">
        <v>0</v>
      </c>
      <c r="L1263" s="0" t="n">
        <v>0</v>
      </c>
      <c r="M1263" s="0" t="n">
        <v>0</v>
      </c>
      <c r="N1263" s="0" t="n">
        <v>0</v>
      </c>
      <c r="P1263" s="0" t="n">
        <v>78.7</v>
      </c>
    </row>
    <row r="1264" customFormat="false" ht="15" hidden="false" customHeight="false" outlineLevel="0" collapsed="false">
      <c r="A1264" s="0" t="s">
        <v>1295</v>
      </c>
      <c r="B1264" s="2" t="n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0" t="n">
        <v>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P1264" s="0" t="n">
        <v>49.6</v>
      </c>
    </row>
    <row r="1265" customFormat="false" ht="15" hidden="false" customHeight="false" outlineLevel="0" collapsed="false">
      <c r="A1265" s="0" t="s">
        <v>1296</v>
      </c>
      <c r="B1265" s="2" t="n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0" t="n">
        <v>1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P1265" s="0" t="n">
        <v>58</v>
      </c>
    </row>
    <row r="1266" customFormat="false" ht="15" hidden="false" customHeight="false" outlineLevel="0" collapsed="false">
      <c r="A1266" s="0" t="s">
        <v>1297</v>
      </c>
      <c r="B1266" s="2" t="n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0" t="n">
        <v>1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0</v>
      </c>
      <c r="P1266" s="0" t="n">
        <v>54.4</v>
      </c>
    </row>
    <row r="1267" customFormat="false" ht="15" hidden="false" customHeight="false" outlineLevel="0" collapsed="false">
      <c r="A1267" s="0" t="s">
        <v>1298</v>
      </c>
      <c r="B1267" s="2" t="n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P1267" s="0" t="n">
        <v>33.7</v>
      </c>
    </row>
    <row r="1268" customFormat="false" ht="15" hidden="false" customHeight="false" outlineLevel="0" collapsed="false">
      <c r="A1268" s="0" t="s">
        <v>1299</v>
      </c>
      <c r="B1268" s="2" t="n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0" t="n">
        <v>1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P1268" s="0" t="n">
        <v>72.7</v>
      </c>
    </row>
    <row r="1269" customFormat="false" ht="15" hidden="false" customHeight="false" outlineLevel="0" collapsed="false">
      <c r="A1269" s="0" t="s">
        <v>1300</v>
      </c>
      <c r="B1269" s="2" t="n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P1269" s="0" t="n">
        <v>64.7</v>
      </c>
    </row>
    <row r="1270" customFormat="false" ht="15" hidden="false" customHeight="false" outlineLevel="0" collapsed="false">
      <c r="A1270" s="0" t="s">
        <v>1301</v>
      </c>
      <c r="B1270" s="2" t="n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0</v>
      </c>
      <c r="P1270" s="0" t="n">
        <v>48.6</v>
      </c>
    </row>
    <row r="1271" customFormat="false" ht="15" hidden="false" customHeight="false" outlineLevel="0" collapsed="false">
      <c r="A1271" s="0" t="s">
        <v>1302</v>
      </c>
      <c r="B1271" s="2" t="n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0" t="n">
        <v>1</v>
      </c>
      <c r="I1271" s="0" t="n">
        <v>1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P1271" s="0" t="n">
        <v>66.2</v>
      </c>
    </row>
    <row r="1272" customFormat="false" ht="15" hidden="false" customHeight="false" outlineLevel="0" collapsed="false">
      <c r="A1272" s="0" t="s">
        <v>1303</v>
      </c>
      <c r="B1272" s="2" t="n">
        <v>45691</v>
      </c>
      <c r="C1272" s="3" t="s">
        <v>723</v>
      </c>
      <c r="D1272" s="3" t="s">
        <v>23</v>
      </c>
      <c r="F1272" s="3" t="s">
        <v>39</v>
      </c>
      <c r="G1272" s="3" t="s">
        <v>21</v>
      </c>
      <c r="H1272" s="0" t="n">
        <v>1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0</v>
      </c>
      <c r="P1272" s="0" t="n">
        <v>60.7</v>
      </c>
    </row>
    <row r="1273" customFormat="false" ht="15" hidden="false" customHeight="false" outlineLevel="0" collapsed="false">
      <c r="A1273" s="0" t="s">
        <v>1304</v>
      </c>
      <c r="B1273" s="2" t="n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0" t="n">
        <v>1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P1273" s="0" t="n">
        <v>36.5</v>
      </c>
    </row>
    <row r="1274" customFormat="false" ht="15" hidden="false" customHeight="false" outlineLevel="0" collapsed="false">
      <c r="A1274" s="0" t="s">
        <v>1305</v>
      </c>
      <c r="B1274" s="2" t="n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0" t="n">
        <v>1</v>
      </c>
      <c r="I1274" s="0" t="n">
        <v>1</v>
      </c>
      <c r="J1274" s="0" t="n">
        <v>1</v>
      </c>
      <c r="K1274" s="0" t="n">
        <v>0</v>
      </c>
      <c r="L1274" s="0" t="n">
        <v>0</v>
      </c>
      <c r="M1274" s="0" t="n">
        <v>3</v>
      </c>
      <c r="N1274" s="0" t="n">
        <v>0</v>
      </c>
      <c r="P1274" s="0" t="n">
        <v>69.7</v>
      </c>
    </row>
    <row r="1275" customFormat="false" ht="15" hidden="false" customHeight="false" outlineLevel="0" collapsed="false">
      <c r="A1275" s="0" t="s">
        <v>1306</v>
      </c>
      <c r="B1275" s="2" t="n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0" t="n">
        <v>1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P1275" s="0" t="n">
        <v>81.8</v>
      </c>
    </row>
    <row r="1276" customFormat="false" ht="15" hidden="false" customHeight="false" outlineLevel="0" collapsed="false">
      <c r="A1276" s="0" t="s">
        <v>1307</v>
      </c>
      <c r="B1276" s="2" t="n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0" t="n">
        <v>1</v>
      </c>
      <c r="I1276" s="0" t="n">
        <v>1</v>
      </c>
      <c r="J1276" s="0" t="n">
        <v>1</v>
      </c>
      <c r="K1276" s="0" t="n">
        <v>0</v>
      </c>
      <c r="L1276" s="0" t="n">
        <v>0</v>
      </c>
      <c r="M1276" s="0" t="n">
        <v>1</v>
      </c>
      <c r="N1276" s="0" t="n">
        <v>0</v>
      </c>
      <c r="P1276" s="0" t="n">
        <v>78.3</v>
      </c>
    </row>
    <row r="1277" customFormat="false" ht="15" hidden="false" customHeight="false" outlineLevel="0" collapsed="false">
      <c r="A1277" s="0" t="s">
        <v>1308</v>
      </c>
      <c r="B1277" s="2" t="n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0" t="n">
        <v>1</v>
      </c>
      <c r="I1277" s="0" t="n">
        <v>1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P1277" s="0" t="n">
        <v>79.4</v>
      </c>
    </row>
    <row r="1278" customFormat="false" ht="15" hidden="false" customHeight="false" outlineLevel="0" collapsed="false">
      <c r="A1278" s="0" t="s">
        <v>1309</v>
      </c>
      <c r="B1278" s="2" t="n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0" t="n">
        <v>1</v>
      </c>
      <c r="I1278" s="0" t="n">
        <v>1</v>
      </c>
      <c r="J1278" s="0" t="n">
        <v>1</v>
      </c>
      <c r="K1278" s="0" t="n">
        <v>0</v>
      </c>
      <c r="L1278" s="0" t="n">
        <v>0</v>
      </c>
      <c r="M1278" s="0" t="n">
        <v>0</v>
      </c>
      <c r="N1278" s="0" t="n">
        <v>0</v>
      </c>
      <c r="P1278" s="0" t="n">
        <v>54.9</v>
      </c>
    </row>
    <row r="1279" customFormat="false" ht="15" hidden="false" customHeight="false" outlineLevel="0" collapsed="false">
      <c r="A1279" s="0" t="s">
        <v>1310</v>
      </c>
      <c r="B1279" s="2" t="n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0" t="n">
        <v>1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P1279" s="0" t="n">
        <v>54.9</v>
      </c>
    </row>
    <row r="1280" customFormat="false" ht="15" hidden="false" customHeight="false" outlineLevel="0" collapsed="false">
      <c r="A1280" s="0" t="s">
        <v>1311</v>
      </c>
      <c r="B1280" s="2" t="n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P1280" s="0" t="n">
        <v>28.7</v>
      </c>
    </row>
    <row r="1281" customFormat="false" ht="15" hidden="false" customHeight="false" outlineLevel="0" collapsed="false">
      <c r="A1281" s="0" t="s">
        <v>1312</v>
      </c>
      <c r="B1281" s="2" t="n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P1281" s="0" t="n">
        <v>68.8</v>
      </c>
    </row>
    <row r="1282" customFormat="false" ht="15" hidden="false" customHeight="false" outlineLevel="0" collapsed="false">
      <c r="A1282" s="0" t="s">
        <v>1313</v>
      </c>
      <c r="B1282" s="2" t="n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0" t="n">
        <v>1</v>
      </c>
      <c r="I1282" s="0" t="n">
        <v>1</v>
      </c>
      <c r="J1282" s="0" t="n">
        <v>1</v>
      </c>
      <c r="K1282" s="0" t="n">
        <v>0</v>
      </c>
      <c r="L1282" s="0" t="n">
        <v>0</v>
      </c>
      <c r="M1282" s="0" t="n">
        <v>0</v>
      </c>
      <c r="N1282" s="0" t="n">
        <v>0</v>
      </c>
      <c r="P1282" s="0" t="n">
        <v>43.5</v>
      </c>
    </row>
    <row r="1283" customFormat="false" ht="15" hidden="false" customHeight="false" outlineLevel="0" collapsed="false">
      <c r="A1283" s="0" t="s">
        <v>1314</v>
      </c>
      <c r="B1283" s="2" t="n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0" t="n">
        <v>1</v>
      </c>
      <c r="I1283" s="0" t="n">
        <v>1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P1283" s="0" t="n">
        <v>62.6</v>
      </c>
    </row>
    <row r="1284" customFormat="false" ht="15" hidden="false" customHeight="false" outlineLevel="0" collapsed="false">
      <c r="A1284" s="0" t="s">
        <v>1315</v>
      </c>
      <c r="B1284" s="2" t="n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0</v>
      </c>
      <c r="P1284" s="0" t="n">
        <v>54.1</v>
      </c>
    </row>
    <row r="1285" customFormat="false" ht="15" hidden="false" customHeight="false" outlineLevel="0" collapsed="false">
      <c r="A1285" s="0" t="s">
        <v>1316</v>
      </c>
      <c r="B1285" s="2" t="n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0" t="n">
        <v>1</v>
      </c>
      <c r="I1285" s="0" t="n">
        <v>1</v>
      </c>
      <c r="J1285" s="0" t="n">
        <v>1</v>
      </c>
      <c r="K1285" s="0" t="n">
        <v>0</v>
      </c>
      <c r="L1285" s="0" t="n">
        <v>0</v>
      </c>
      <c r="M1285" s="0" t="n">
        <v>0</v>
      </c>
      <c r="N1285" s="0" t="n">
        <v>0</v>
      </c>
      <c r="P1285" s="0" t="n">
        <v>80.1</v>
      </c>
    </row>
    <row r="1286" customFormat="false" ht="15" hidden="false" customHeight="false" outlineLevel="0" collapsed="false">
      <c r="A1286" s="0" t="s">
        <v>1317</v>
      </c>
      <c r="B1286" s="2" t="n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0" t="n">
        <v>1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P1286" s="0" t="n">
        <v>69.5</v>
      </c>
    </row>
    <row r="1287" customFormat="false" ht="15" hidden="false" customHeight="false" outlineLevel="0" collapsed="false">
      <c r="A1287" s="0" t="s">
        <v>1318</v>
      </c>
      <c r="B1287" s="2" t="n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2</v>
      </c>
      <c r="N1287" s="0" t="n">
        <v>0</v>
      </c>
      <c r="P1287" s="0" t="n">
        <v>46.6</v>
      </c>
    </row>
    <row r="1288" customFormat="false" ht="15" hidden="false" customHeight="false" outlineLevel="0" collapsed="false">
      <c r="A1288" s="0" t="s">
        <v>1319</v>
      </c>
      <c r="B1288" s="2" t="n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0" t="n">
        <v>1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0</v>
      </c>
      <c r="P1288" s="0" t="n">
        <v>54.9</v>
      </c>
    </row>
    <row r="1289" customFormat="false" ht="15" hidden="false" customHeight="false" outlineLevel="0" collapsed="false">
      <c r="A1289" s="0" t="s">
        <v>1320</v>
      </c>
      <c r="B1289" s="2" t="n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P1289" s="0" t="n">
        <v>100</v>
      </c>
    </row>
    <row r="1290" customFormat="false" ht="15" hidden="false" customHeight="false" outlineLevel="0" collapsed="false">
      <c r="A1290" s="0" t="s">
        <v>1321</v>
      </c>
      <c r="B1290" s="2" t="n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0" t="n">
        <v>1</v>
      </c>
      <c r="I1290" s="0" t="n">
        <v>1</v>
      </c>
      <c r="J1290" s="0" t="n">
        <v>1</v>
      </c>
      <c r="K1290" s="0" t="n">
        <v>0</v>
      </c>
      <c r="L1290" s="0" t="n">
        <v>0</v>
      </c>
      <c r="M1290" s="0" t="n">
        <v>1</v>
      </c>
      <c r="N1290" s="0" t="n">
        <v>0</v>
      </c>
      <c r="P1290" s="0" t="n">
        <v>80.5</v>
      </c>
    </row>
    <row r="1291" customFormat="false" ht="15" hidden="false" customHeight="false" outlineLevel="0" collapsed="false">
      <c r="A1291" s="0" t="s">
        <v>1322</v>
      </c>
      <c r="B1291" s="2" t="n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0" t="n">
        <v>1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P1291" s="0" t="n">
        <v>51.2</v>
      </c>
    </row>
    <row r="1292" customFormat="false" ht="15" hidden="false" customHeight="false" outlineLevel="0" collapsed="false">
      <c r="A1292" s="0" t="s">
        <v>1323</v>
      </c>
      <c r="B1292" s="2" t="n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0" t="n">
        <v>1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P1292" s="0" t="n">
        <v>42.5</v>
      </c>
    </row>
    <row r="1293" customFormat="false" ht="15" hidden="false" customHeight="false" outlineLevel="0" collapsed="false">
      <c r="A1293" s="0" t="s">
        <v>1324</v>
      </c>
      <c r="B1293" s="2" t="n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P1293" s="0" t="n">
        <v>72.5</v>
      </c>
    </row>
    <row r="1294" customFormat="false" ht="15" hidden="false" customHeight="false" outlineLevel="0" collapsed="false">
      <c r="A1294" s="0" t="s">
        <v>1325</v>
      </c>
      <c r="B1294" s="2" t="n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P1294" s="0" t="n">
        <v>74.4</v>
      </c>
    </row>
    <row r="1295" customFormat="false" ht="15" hidden="false" customHeight="false" outlineLevel="0" collapsed="false">
      <c r="A1295" s="0" t="s">
        <v>1326</v>
      </c>
      <c r="B1295" s="2" t="n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P1295" s="0" t="n">
        <v>78.4</v>
      </c>
    </row>
    <row r="1296" customFormat="false" ht="15" hidden="false" customHeight="false" outlineLevel="0" collapsed="false">
      <c r="A1296" s="0" t="s">
        <v>1327</v>
      </c>
      <c r="B1296" s="2" t="n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0" t="n">
        <v>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P1296" s="0" t="n">
        <v>71.5</v>
      </c>
    </row>
    <row r="1297" customFormat="false" ht="15" hidden="false" customHeight="false" outlineLevel="0" collapsed="false">
      <c r="A1297" s="0" t="s">
        <v>1328</v>
      </c>
      <c r="B1297" s="2" t="n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0" t="n">
        <v>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P1297" s="0" t="n">
        <v>66.7</v>
      </c>
    </row>
    <row r="1298" customFormat="false" ht="15" hidden="false" customHeight="false" outlineLevel="0" collapsed="false">
      <c r="A1298" s="0" t="s">
        <v>1329</v>
      </c>
      <c r="B1298" s="2" t="n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0" t="n">
        <v>1</v>
      </c>
      <c r="I1298" s="0" t="n">
        <v>1</v>
      </c>
      <c r="J1298" s="0" t="n">
        <v>1</v>
      </c>
      <c r="K1298" s="0" t="n">
        <v>1</v>
      </c>
      <c r="L1298" s="0" t="n">
        <v>1496.09</v>
      </c>
      <c r="M1298" s="0" t="n">
        <v>0</v>
      </c>
      <c r="N1298" s="0" t="n">
        <v>0</v>
      </c>
      <c r="O1298" s="0" t="n">
        <v>7</v>
      </c>
      <c r="P1298" s="0" t="n">
        <v>60.4</v>
      </c>
    </row>
    <row r="1299" customFormat="false" ht="15" hidden="false" customHeight="false" outlineLevel="0" collapsed="false">
      <c r="A1299" s="0" t="s">
        <v>1330</v>
      </c>
      <c r="B1299" s="2" t="n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0</v>
      </c>
      <c r="P1299" s="0" t="n">
        <v>72.9</v>
      </c>
    </row>
    <row r="1300" customFormat="false" ht="15" hidden="false" customHeight="false" outlineLevel="0" collapsed="false">
      <c r="A1300" s="0" t="s">
        <v>1331</v>
      </c>
      <c r="B1300" s="2" t="n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3</v>
      </c>
      <c r="N1300" s="0" t="n">
        <v>0</v>
      </c>
    </row>
    <row r="1301" customFormat="false" ht="15" hidden="false" customHeight="false" outlineLevel="0" collapsed="false">
      <c r="A1301" s="0" t="s">
        <v>1332</v>
      </c>
      <c r="B1301" s="2" t="n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0" t="n">
        <v>1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P1301" s="0" t="n">
        <v>55.2</v>
      </c>
    </row>
    <row r="1302" customFormat="false" ht="15" hidden="false" customHeight="false" outlineLevel="0" collapsed="false">
      <c r="A1302" s="0" t="s">
        <v>1333</v>
      </c>
      <c r="B1302" s="2" t="n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0" t="n">
        <v>1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P1302" s="0" t="n">
        <v>67.8</v>
      </c>
    </row>
    <row r="1303" customFormat="false" ht="15" hidden="false" customHeight="false" outlineLevel="0" collapsed="false">
      <c r="A1303" s="0" t="s">
        <v>1334</v>
      </c>
      <c r="B1303" s="2" t="n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0" t="n">
        <v>1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2</v>
      </c>
      <c r="N1303" s="0" t="n">
        <v>0</v>
      </c>
      <c r="P1303" s="0" t="n">
        <v>70</v>
      </c>
    </row>
    <row r="1304" customFormat="false" ht="15" hidden="false" customHeight="false" outlineLevel="0" collapsed="false">
      <c r="A1304" s="0" t="s">
        <v>1335</v>
      </c>
      <c r="B1304" s="2" t="n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0" t="n">
        <v>1</v>
      </c>
      <c r="I1304" s="0" t="n">
        <v>1</v>
      </c>
      <c r="J1304" s="0" t="n">
        <v>1</v>
      </c>
      <c r="K1304" s="0" t="n">
        <v>0</v>
      </c>
      <c r="L1304" s="0" t="n">
        <v>0</v>
      </c>
      <c r="M1304" s="0" t="n">
        <v>0</v>
      </c>
      <c r="N1304" s="0" t="n">
        <v>0</v>
      </c>
      <c r="P1304" s="0" t="n">
        <v>51.1</v>
      </c>
    </row>
    <row r="1305" customFormat="false" ht="15" hidden="false" customHeight="false" outlineLevel="0" collapsed="false">
      <c r="A1305" s="0" t="s">
        <v>1336</v>
      </c>
      <c r="B1305" s="2" t="n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0" t="n">
        <v>1</v>
      </c>
      <c r="I1305" s="0" t="n">
        <v>1</v>
      </c>
      <c r="J1305" s="0" t="n">
        <v>1</v>
      </c>
      <c r="K1305" s="0" t="n">
        <v>0</v>
      </c>
      <c r="L1305" s="0" t="n">
        <v>0</v>
      </c>
      <c r="M1305" s="0" t="n">
        <v>0</v>
      </c>
      <c r="N1305" s="0" t="n">
        <v>0</v>
      </c>
      <c r="P1305" s="0" t="n">
        <v>57</v>
      </c>
    </row>
    <row r="1306" customFormat="false" ht="15" hidden="false" customHeight="false" outlineLevel="0" collapsed="false">
      <c r="A1306" s="0" t="s">
        <v>1337</v>
      </c>
      <c r="B1306" s="2" t="n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0</v>
      </c>
      <c r="P1306" s="0" t="n">
        <v>47.1</v>
      </c>
    </row>
    <row r="1307" customFormat="false" ht="15" hidden="false" customHeight="false" outlineLevel="0" collapsed="false">
      <c r="A1307" s="0" t="s">
        <v>1338</v>
      </c>
      <c r="B1307" s="2" t="n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P1307" s="0" t="n">
        <v>30.7</v>
      </c>
    </row>
    <row r="1308" customFormat="false" ht="15" hidden="false" customHeight="false" outlineLevel="0" collapsed="false">
      <c r="A1308" s="0" t="s">
        <v>1339</v>
      </c>
      <c r="B1308" s="2" t="n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0" t="n">
        <v>1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P1308" s="0" t="n">
        <v>57.3</v>
      </c>
    </row>
    <row r="1309" customFormat="false" ht="15" hidden="false" customHeight="false" outlineLevel="0" collapsed="false">
      <c r="A1309" s="0" t="s">
        <v>1340</v>
      </c>
      <c r="B1309" s="2" t="n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0" t="n">
        <v>1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P1309" s="0" t="n">
        <v>70</v>
      </c>
    </row>
    <row r="1310" customFormat="false" ht="15" hidden="false" customHeight="false" outlineLevel="0" collapsed="false">
      <c r="A1310" s="0" t="s">
        <v>1341</v>
      </c>
      <c r="B1310" s="2" t="n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0" t="n">
        <v>1</v>
      </c>
      <c r="I1310" s="0" t="n">
        <v>1</v>
      </c>
      <c r="J1310" s="0" t="n">
        <v>1</v>
      </c>
      <c r="K1310" s="0" t="n">
        <v>0</v>
      </c>
      <c r="L1310" s="0" t="n">
        <v>0</v>
      </c>
      <c r="M1310" s="0" t="n">
        <v>0</v>
      </c>
      <c r="N1310" s="0" t="n">
        <v>0</v>
      </c>
      <c r="P1310" s="0" t="n">
        <v>59.7</v>
      </c>
    </row>
    <row r="1311" customFormat="false" ht="15" hidden="false" customHeight="false" outlineLevel="0" collapsed="false">
      <c r="A1311" s="0" t="s">
        <v>1342</v>
      </c>
      <c r="B1311" s="2" t="n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0" t="n">
        <v>1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P1311" s="0" t="n">
        <v>68.8</v>
      </c>
    </row>
    <row r="1312" customFormat="false" ht="15" hidden="false" customHeight="false" outlineLevel="0" collapsed="false">
      <c r="A1312" s="0" t="s">
        <v>1343</v>
      </c>
      <c r="B1312" s="2" t="n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0" t="n">
        <v>1</v>
      </c>
      <c r="I1312" s="0" t="n">
        <v>1</v>
      </c>
      <c r="J1312" s="0" t="n">
        <v>1</v>
      </c>
      <c r="K1312" s="0" t="n">
        <v>1</v>
      </c>
      <c r="L1312" s="0" t="n">
        <v>428.37</v>
      </c>
      <c r="M1312" s="0" t="n">
        <v>0</v>
      </c>
      <c r="N1312" s="0" t="n">
        <v>0</v>
      </c>
      <c r="O1312" s="0" t="n">
        <v>9</v>
      </c>
      <c r="P1312" s="0" t="n">
        <v>88.3</v>
      </c>
    </row>
    <row r="1313" customFormat="false" ht="15" hidden="false" customHeight="false" outlineLevel="0" collapsed="false">
      <c r="A1313" s="0" t="s">
        <v>1344</v>
      </c>
      <c r="B1313" s="2" t="n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P1313" s="0" t="n">
        <v>83.4</v>
      </c>
    </row>
    <row r="1314" customFormat="false" ht="15" hidden="false" customHeight="false" outlineLevel="0" collapsed="false">
      <c r="A1314" s="0" t="s">
        <v>1345</v>
      </c>
      <c r="B1314" s="2" t="n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0</v>
      </c>
      <c r="P1314" s="0" t="n">
        <v>81.6</v>
      </c>
    </row>
    <row r="1315" customFormat="false" ht="15" hidden="false" customHeight="false" outlineLevel="0" collapsed="false">
      <c r="A1315" s="0" t="s">
        <v>1346</v>
      </c>
      <c r="B1315" s="2" t="n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0" t="n">
        <v>1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P1315" s="0" t="n">
        <v>91.6</v>
      </c>
    </row>
    <row r="1316" customFormat="false" ht="15" hidden="false" customHeight="false" outlineLevel="0" collapsed="false">
      <c r="A1316" s="0" t="s">
        <v>1347</v>
      </c>
      <c r="B1316" s="2" t="n">
        <v>45665</v>
      </c>
      <c r="C1316" s="3" t="s">
        <v>723</v>
      </c>
      <c r="D1316" s="3" t="s">
        <v>28</v>
      </c>
      <c r="E1316" s="3" t="s">
        <v>34</v>
      </c>
      <c r="G1316" s="3" t="s">
        <v>30</v>
      </c>
      <c r="H1316" s="0" t="n">
        <v>1</v>
      </c>
      <c r="I1316" s="0" t="n">
        <v>1</v>
      </c>
      <c r="J1316" s="0" t="n">
        <v>1</v>
      </c>
      <c r="K1316" s="0" t="n">
        <v>0</v>
      </c>
      <c r="L1316" s="0" t="n">
        <v>0</v>
      </c>
      <c r="M1316" s="0" t="n">
        <v>1</v>
      </c>
      <c r="N1316" s="0" t="n">
        <v>0</v>
      </c>
      <c r="P1316" s="0" t="n">
        <v>61.5</v>
      </c>
    </row>
    <row r="1317" customFormat="false" ht="15" hidden="false" customHeight="false" outlineLevel="0" collapsed="false">
      <c r="A1317" s="0" t="s">
        <v>1348</v>
      </c>
      <c r="B1317" s="2" t="n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</row>
    <row r="1318" customFormat="false" ht="15" hidden="false" customHeight="false" outlineLevel="0" collapsed="false">
      <c r="A1318" s="0" t="s">
        <v>1349</v>
      </c>
      <c r="B1318" s="2" t="n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0" t="n">
        <v>1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P1318" s="0" t="n">
        <v>32.6</v>
      </c>
    </row>
    <row r="1319" customFormat="false" ht="15" hidden="false" customHeight="false" outlineLevel="0" collapsed="false">
      <c r="A1319" s="0" t="s">
        <v>1350</v>
      </c>
      <c r="B1319" s="2" t="n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0" t="n">
        <v>1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P1319" s="0" t="n">
        <v>73.9</v>
      </c>
    </row>
    <row r="1320" customFormat="false" ht="15" hidden="false" customHeight="false" outlineLevel="0" collapsed="false">
      <c r="A1320" s="0" t="s">
        <v>1351</v>
      </c>
      <c r="B1320" s="2" t="n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0" t="n">
        <v>1</v>
      </c>
      <c r="I1320" s="0" t="n">
        <v>1</v>
      </c>
      <c r="J1320" s="0" t="n">
        <v>1</v>
      </c>
      <c r="K1320" s="0" t="n">
        <v>1</v>
      </c>
      <c r="L1320" s="0" t="n">
        <v>444.06</v>
      </c>
      <c r="M1320" s="0" t="n">
        <v>0</v>
      </c>
      <c r="N1320" s="0" t="n">
        <v>0</v>
      </c>
      <c r="O1320" s="0" t="n">
        <v>9</v>
      </c>
      <c r="P1320" s="0" t="n">
        <v>99.9</v>
      </c>
    </row>
    <row r="1321" customFormat="false" ht="15" hidden="false" customHeight="false" outlineLevel="0" collapsed="false">
      <c r="A1321" s="0" t="s">
        <v>1352</v>
      </c>
      <c r="B1321" s="2" t="n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0" t="n">
        <v>1</v>
      </c>
      <c r="I1321" s="0" t="n">
        <v>1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0</v>
      </c>
      <c r="P1321" s="0" t="n">
        <v>62.4</v>
      </c>
    </row>
    <row r="1322" customFormat="false" ht="15" hidden="false" customHeight="false" outlineLevel="0" collapsed="false">
      <c r="A1322" s="0" t="s">
        <v>1353</v>
      </c>
      <c r="B1322" s="2" t="n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0" t="n">
        <v>1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P1322" s="0" t="n">
        <v>46.1</v>
      </c>
    </row>
    <row r="1323" customFormat="false" ht="15" hidden="false" customHeight="false" outlineLevel="0" collapsed="false">
      <c r="A1323" s="0" t="s">
        <v>1354</v>
      </c>
      <c r="B1323" s="2" t="n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0" t="n">
        <v>1</v>
      </c>
      <c r="I1323" s="0" t="n">
        <v>1</v>
      </c>
      <c r="J1323" s="0" t="n">
        <v>1</v>
      </c>
      <c r="K1323" s="0" t="n">
        <v>1</v>
      </c>
      <c r="L1323" s="0" t="n">
        <v>2660.21</v>
      </c>
      <c r="M1323" s="0" t="n">
        <v>0</v>
      </c>
      <c r="N1323" s="0" t="n">
        <v>0</v>
      </c>
      <c r="O1323" s="0" t="n">
        <v>3</v>
      </c>
      <c r="P1323" s="0" t="n">
        <v>73.9</v>
      </c>
    </row>
    <row r="1324" customFormat="false" ht="15" hidden="false" customHeight="false" outlineLevel="0" collapsed="false">
      <c r="A1324" s="0" t="s">
        <v>1355</v>
      </c>
      <c r="B1324" s="2" t="n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P1324" s="0" t="n">
        <v>90</v>
      </c>
    </row>
    <row r="1325" customFormat="false" ht="15" hidden="false" customHeight="false" outlineLevel="0" collapsed="false">
      <c r="A1325" s="0" t="s">
        <v>1356</v>
      </c>
      <c r="B1325" s="2" t="n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0" t="n">
        <v>1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0</v>
      </c>
      <c r="P1325" s="0" t="n">
        <v>68.8</v>
      </c>
    </row>
    <row r="1326" customFormat="false" ht="15" hidden="false" customHeight="false" outlineLevel="0" collapsed="false">
      <c r="A1326" s="0" t="s">
        <v>1357</v>
      </c>
      <c r="B1326" s="2" t="n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0" t="n">
        <v>1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P1326" s="0" t="n">
        <v>66.6</v>
      </c>
    </row>
    <row r="1327" customFormat="false" ht="15" hidden="false" customHeight="false" outlineLevel="0" collapsed="false">
      <c r="A1327" s="0" t="s">
        <v>1358</v>
      </c>
      <c r="B1327" s="2" t="n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0" t="n">
        <v>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P1327" s="0" t="n">
        <v>49.7</v>
      </c>
    </row>
    <row r="1328" customFormat="false" ht="15" hidden="false" customHeight="false" outlineLevel="0" collapsed="false">
      <c r="A1328" s="0" t="s">
        <v>1359</v>
      </c>
      <c r="B1328" s="2" t="n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P1328" s="0" t="n">
        <v>67.9</v>
      </c>
    </row>
    <row r="1329" customFormat="false" ht="15" hidden="false" customHeight="false" outlineLevel="0" collapsed="false">
      <c r="A1329" s="0" t="s">
        <v>1360</v>
      </c>
      <c r="B1329" s="2" t="n">
        <v>45777</v>
      </c>
      <c r="C1329" s="3" t="s">
        <v>723</v>
      </c>
      <c r="D1329" s="3" t="s">
        <v>23</v>
      </c>
      <c r="E1329" s="3" t="s">
        <v>24</v>
      </c>
      <c r="G1329" s="3" t="s">
        <v>21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P1329" s="0" t="n">
        <v>66.9</v>
      </c>
    </row>
    <row r="1330" customFormat="false" ht="15" hidden="false" customHeight="false" outlineLevel="0" collapsed="false">
      <c r="A1330" s="0" t="s">
        <v>1361</v>
      </c>
      <c r="B1330" s="2" t="n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P1330" s="0" t="n">
        <v>46.1</v>
      </c>
    </row>
    <row r="1331" customFormat="false" ht="15" hidden="false" customHeight="false" outlineLevel="0" collapsed="false">
      <c r="A1331" s="0" t="s">
        <v>1362</v>
      </c>
      <c r="B1331" s="2" t="n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0" t="n">
        <v>1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P1331" s="0" t="n">
        <v>85.6</v>
      </c>
    </row>
    <row r="1332" customFormat="false" ht="15" hidden="false" customHeight="false" outlineLevel="0" collapsed="false">
      <c r="A1332" s="0" t="s">
        <v>1363</v>
      </c>
      <c r="B1332" s="2" t="n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P1332" s="0" t="n">
        <v>39.6</v>
      </c>
    </row>
    <row r="1333" customFormat="false" ht="15" hidden="false" customHeight="false" outlineLevel="0" collapsed="false">
      <c r="A1333" s="0" t="s">
        <v>1364</v>
      </c>
      <c r="B1333" s="2" t="n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0" t="n">
        <v>1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P1333" s="0" t="n">
        <v>52.5</v>
      </c>
    </row>
    <row r="1334" customFormat="false" ht="15" hidden="false" customHeight="false" outlineLevel="0" collapsed="false">
      <c r="A1334" s="0" t="s">
        <v>1365</v>
      </c>
      <c r="B1334" s="2" t="n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0" t="n">
        <v>1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P1334" s="0" t="n">
        <v>73.5</v>
      </c>
    </row>
    <row r="1335" customFormat="false" ht="15" hidden="false" customHeight="false" outlineLevel="0" collapsed="false">
      <c r="A1335" s="0" t="s">
        <v>1366</v>
      </c>
      <c r="B1335" s="2" t="n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P1335" s="0" t="n">
        <v>62.5</v>
      </c>
    </row>
    <row r="1336" customFormat="false" ht="15" hidden="false" customHeight="false" outlineLevel="0" collapsed="false">
      <c r="A1336" s="0" t="s">
        <v>1367</v>
      </c>
      <c r="B1336" s="2" t="n">
        <v>45763</v>
      </c>
      <c r="C1336" s="3" t="s">
        <v>723</v>
      </c>
      <c r="D1336" s="3" t="s">
        <v>32</v>
      </c>
      <c r="F1336" s="3" t="s">
        <v>25</v>
      </c>
      <c r="G1336" s="3" t="s">
        <v>26</v>
      </c>
      <c r="H1336" s="0" t="n">
        <v>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P1336" s="0" t="n">
        <v>76.9</v>
      </c>
    </row>
    <row r="1337" customFormat="false" ht="15" hidden="false" customHeight="false" outlineLevel="0" collapsed="false">
      <c r="A1337" s="0" t="s">
        <v>1368</v>
      </c>
      <c r="B1337" s="2" t="n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0" t="n">
        <v>1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P1337" s="0" t="n">
        <v>51.4</v>
      </c>
    </row>
    <row r="1338" customFormat="false" ht="15" hidden="false" customHeight="false" outlineLevel="0" collapsed="false">
      <c r="A1338" s="0" t="s">
        <v>1369</v>
      </c>
      <c r="B1338" s="2" t="n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0" t="n">
        <v>1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P1338" s="0" t="n">
        <v>59.3</v>
      </c>
    </row>
    <row r="1339" customFormat="false" ht="15" hidden="false" customHeight="false" outlineLevel="0" collapsed="false">
      <c r="A1339" s="0" t="s">
        <v>1370</v>
      </c>
      <c r="B1339" s="2" t="n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P1339" s="0" t="n">
        <v>74.9</v>
      </c>
    </row>
    <row r="1340" customFormat="false" ht="15" hidden="false" customHeight="false" outlineLevel="0" collapsed="false">
      <c r="A1340" s="0" t="s">
        <v>1371</v>
      </c>
      <c r="B1340" s="2" t="n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0" t="n">
        <v>1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P1340" s="0" t="n">
        <v>67</v>
      </c>
    </row>
    <row r="1341" customFormat="false" ht="15" hidden="false" customHeight="false" outlineLevel="0" collapsed="false">
      <c r="A1341" s="0" t="s">
        <v>1372</v>
      </c>
      <c r="B1341" s="2" t="n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P1341" s="0" t="n">
        <v>63.6</v>
      </c>
    </row>
    <row r="1342" customFormat="false" ht="15" hidden="false" customHeight="false" outlineLevel="0" collapsed="false">
      <c r="A1342" s="0" t="s">
        <v>1373</v>
      </c>
      <c r="B1342" s="2" t="n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0" t="n">
        <v>1</v>
      </c>
      <c r="I1342" s="0" t="n">
        <v>1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0</v>
      </c>
      <c r="P1342" s="0" t="n">
        <v>58.4</v>
      </c>
    </row>
    <row r="1343" customFormat="false" ht="15" hidden="false" customHeight="false" outlineLevel="0" collapsed="false">
      <c r="A1343" s="0" t="s">
        <v>1374</v>
      </c>
      <c r="B1343" s="2" t="n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0" t="n">
        <v>1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P1343" s="0" t="n">
        <v>36.8</v>
      </c>
    </row>
    <row r="1344" customFormat="false" ht="15" hidden="false" customHeight="false" outlineLevel="0" collapsed="false">
      <c r="A1344" s="0" t="s">
        <v>1375</v>
      </c>
      <c r="B1344" s="2" t="n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0" t="n">
        <v>1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P1344" s="0" t="n">
        <v>71.6</v>
      </c>
    </row>
    <row r="1345" customFormat="false" ht="15" hidden="false" customHeight="false" outlineLevel="0" collapsed="false">
      <c r="A1345" s="0" t="s">
        <v>1376</v>
      </c>
      <c r="B1345" s="2" t="n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0" t="n">
        <v>1</v>
      </c>
      <c r="I1345" s="0" t="n">
        <v>1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0</v>
      </c>
      <c r="P1345" s="0" t="n">
        <v>79.7</v>
      </c>
    </row>
    <row r="1346" customFormat="false" ht="15" hidden="false" customHeight="false" outlineLevel="0" collapsed="false">
      <c r="A1346" s="0" t="s">
        <v>1377</v>
      </c>
      <c r="B1346" s="2" t="n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0" t="n">
        <v>1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0</v>
      </c>
      <c r="P1346" s="0" t="n">
        <v>56.5</v>
      </c>
    </row>
    <row r="1347" customFormat="false" ht="15" hidden="false" customHeight="false" outlineLevel="0" collapsed="false">
      <c r="A1347" s="0" t="s">
        <v>1378</v>
      </c>
      <c r="B1347" s="2" t="n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0" t="n">
        <v>1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P1347" s="0" t="n">
        <v>44.7</v>
      </c>
    </row>
    <row r="1348" customFormat="false" ht="15" hidden="false" customHeight="false" outlineLevel="0" collapsed="false">
      <c r="A1348" s="0" t="s">
        <v>1379</v>
      </c>
      <c r="B1348" s="2" t="n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0" t="n">
        <v>1</v>
      </c>
      <c r="I1348" s="0" t="n">
        <v>1</v>
      </c>
      <c r="J1348" s="0" t="n">
        <v>1</v>
      </c>
      <c r="K1348" s="0" t="n">
        <v>0</v>
      </c>
      <c r="L1348" s="0" t="n">
        <v>0</v>
      </c>
      <c r="M1348" s="0" t="n">
        <v>1</v>
      </c>
      <c r="N1348" s="0" t="n">
        <v>0</v>
      </c>
      <c r="P1348" s="0" t="n">
        <v>66</v>
      </c>
    </row>
    <row r="1349" customFormat="false" ht="15" hidden="false" customHeight="false" outlineLevel="0" collapsed="false">
      <c r="A1349" s="0" t="s">
        <v>1380</v>
      </c>
      <c r="B1349" s="2" t="n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0" t="n">
        <v>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P1349" s="0" t="n">
        <v>73</v>
      </c>
    </row>
    <row r="1350" customFormat="false" ht="15" hidden="false" customHeight="false" outlineLevel="0" collapsed="false">
      <c r="A1350" s="0" t="s">
        <v>1381</v>
      </c>
      <c r="B1350" s="2" t="n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0" t="n">
        <v>1</v>
      </c>
      <c r="I1350" s="0" t="n">
        <v>1</v>
      </c>
      <c r="J1350" s="0" t="n">
        <v>1</v>
      </c>
      <c r="K1350" s="0" t="n">
        <v>0</v>
      </c>
      <c r="L1350" s="0" t="n">
        <v>0</v>
      </c>
      <c r="M1350" s="0" t="n">
        <v>1</v>
      </c>
      <c r="N1350" s="0" t="n">
        <v>0</v>
      </c>
      <c r="P1350" s="0" t="n">
        <v>72.5</v>
      </c>
    </row>
    <row r="1351" customFormat="false" ht="15" hidden="false" customHeight="false" outlineLevel="0" collapsed="false">
      <c r="A1351" s="0" t="s">
        <v>1382</v>
      </c>
      <c r="B1351" s="2" t="n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0" t="n">
        <v>1</v>
      </c>
      <c r="I1351" s="0" t="n">
        <v>1</v>
      </c>
      <c r="J1351" s="0" t="n">
        <v>1</v>
      </c>
      <c r="K1351" s="0" t="n">
        <v>1</v>
      </c>
      <c r="L1351" s="0" t="n">
        <v>323.6</v>
      </c>
      <c r="M1351" s="0" t="n">
        <v>0</v>
      </c>
      <c r="N1351" s="0" t="n">
        <v>0</v>
      </c>
      <c r="O1351" s="0" t="n">
        <v>6</v>
      </c>
      <c r="P1351" s="0" t="n">
        <v>100</v>
      </c>
    </row>
    <row r="1352" customFormat="false" ht="15" hidden="false" customHeight="false" outlineLevel="0" collapsed="false">
      <c r="A1352" s="0" t="s">
        <v>1383</v>
      </c>
      <c r="B1352" s="2" t="n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0</v>
      </c>
      <c r="P1352" s="0" t="n">
        <v>90.5</v>
      </c>
    </row>
    <row r="1353" customFormat="false" ht="15" hidden="false" customHeight="false" outlineLevel="0" collapsed="false">
      <c r="A1353" s="0" t="s">
        <v>1384</v>
      </c>
      <c r="B1353" s="2" t="n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0" t="n">
        <v>1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P1353" s="0" t="n">
        <v>70.2</v>
      </c>
    </row>
    <row r="1354" customFormat="false" ht="15" hidden="false" customHeight="false" outlineLevel="0" collapsed="false">
      <c r="A1354" s="0" t="s">
        <v>1385</v>
      </c>
      <c r="B1354" s="2" t="n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0" t="n">
        <v>1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P1354" s="0" t="n">
        <v>67.1</v>
      </c>
    </row>
    <row r="1355" customFormat="false" ht="15" hidden="false" customHeight="false" outlineLevel="0" collapsed="false">
      <c r="A1355" s="0" t="s">
        <v>1386</v>
      </c>
      <c r="B1355" s="2" t="n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P1355" s="0" t="n">
        <v>54.5</v>
      </c>
    </row>
    <row r="1356" customFormat="false" ht="15" hidden="false" customHeight="false" outlineLevel="0" collapsed="false">
      <c r="A1356" s="0" t="s">
        <v>1387</v>
      </c>
      <c r="B1356" s="2" t="n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0" t="n">
        <v>1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P1356" s="0" t="n">
        <v>63.4</v>
      </c>
    </row>
    <row r="1357" customFormat="false" ht="15" hidden="false" customHeight="false" outlineLevel="0" collapsed="false">
      <c r="A1357" s="0" t="s">
        <v>1388</v>
      </c>
      <c r="B1357" s="2" t="n">
        <v>45717</v>
      </c>
      <c r="C1357" s="3" t="s">
        <v>723</v>
      </c>
      <c r="D1357" s="3" t="s">
        <v>18</v>
      </c>
      <c r="E1357" s="3" t="s">
        <v>19</v>
      </c>
      <c r="G1357" s="3" t="s">
        <v>26</v>
      </c>
      <c r="H1357" s="0" t="n">
        <v>1</v>
      </c>
      <c r="I1357" s="0" t="n">
        <v>1</v>
      </c>
      <c r="J1357" s="0" t="n">
        <v>1</v>
      </c>
      <c r="K1357" s="0" t="n">
        <v>0</v>
      </c>
      <c r="L1357" s="0" t="n">
        <v>0</v>
      </c>
      <c r="M1357" s="0" t="n">
        <v>0</v>
      </c>
      <c r="N1357" s="0" t="n">
        <v>0</v>
      </c>
      <c r="P1357" s="0" t="n">
        <v>84.3</v>
      </c>
    </row>
    <row r="1358" customFormat="false" ht="15" hidden="false" customHeight="false" outlineLevel="0" collapsed="false">
      <c r="A1358" s="0" t="s">
        <v>1389</v>
      </c>
      <c r="B1358" s="2" t="n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0" t="n">
        <v>1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0</v>
      </c>
      <c r="P1358" s="0" t="n">
        <v>55</v>
      </c>
    </row>
    <row r="1359" customFormat="false" ht="15" hidden="false" customHeight="false" outlineLevel="0" collapsed="false">
      <c r="A1359" s="0" t="s">
        <v>1390</v>
      </c>
      <c r="B1359" s="2" t="n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0" t="n">
        <v>1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P1359" s="0" t="n">
        <v>63.6</v>
      </c>
    </row>
    <row r="1360" customFormat="false" ht="15" hidden="false" customHeight="false" outlineLevel="0" collapsed="false">
      <c r="A1360" s="0" t="s">
        <v>1391</v>
      </c>
      <c r="B1360" s="2" t="n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0" t="n">
        <v>1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P1360" s="0" t="n">
        <v>55.5</v>
      </c>
    </row>
    <row r="1361" customFormat="false" ht="15" hidden="false" customHeight="false" outlineLevel="0" collapsed="false">
      <c r="A1361" s="0" t="s">
        <v>1392</v>
      </c>
      <c r="B1361" s="2" t="n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P1361" s="0" t="n">
        <v>50.5</v>
      </c>
    </row>
    <row r="1362" customFormat="false" ht="15" hidden="false" customHeight="false" outlineLevel="0" collapsed="false">
      <c r="A1362" s="0" t="s">
        <v>1393</v>
      </c>
      <c r="B1362" s="2" t="n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0" t="n">
        <v>1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P1362" s="0" t="n">
        <v>45.3</v>
      </c>
    </row>
    <row r="1363" customFormat="false" ht="15" hidden="false" customHeight="false" outlineLevel="0" collapsed="false">
      <c r="A1363" s="0" t="s">
        <v>1394</v>
      </c>
      <c r="B1363" s="2" t="n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0" t="n">
        <v>1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P1363" s="0" t="n">
        <v>33.6</v>
      </c>
    </row>
    <row r="1364" customFormat="false" ht="15" hidden="false" customHeight="false" outlineLevel="0" collapsed="false">
      <c r="A1364" s="0" t="s">
        <v>1395</v>
      </c>
      <c r="B1364" s="2" t="n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0" t="n">
        <v>1</v>
      </c>
      <c r="I1364" s="0" t="n">
        <v>1</v>
      </c>
      <c r="J1364" s="0" t="n">
        <v>1</v>
      </c>
      <c r="K1364" s="0" t="n">
        <v>0</v>
      </c>
      <c r="L1364" s="0" t="n">
        <v>0</v>
      </c>
      <c r="M1364" s="0" t="n">
        <v>0</v>
      </c>
      <c r="N1364" s="0" t="n">
        <v>0</v>
      </c>
      <c r="P1364" s="0" t="n">
        <v>88.2</v>
      </c>
    </row>
    <row r="1365" customFormat="false" ht="15" hidden="false" customHeight="false" outlineLevel="0" collapsed="false">
      <c r="A1365" s="0" t="s">
        <v>1396</v>
      </c>
      <c r="B1365" s="2" t="n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0" t="n">
        <v>1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P1365" s="0" t="n">
        <v>51.8</v>
      </c>
    </row>
    <row r="1366" customFormat="false" ht="15" hidden="false" customHeight="false" outlineLevel="0" collapsed="false">
      <c r="A1366" s="0" t="s">
        <v>1397</v>
      </c>
      <c r="B1366" s="2" t="n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P1366" s="0" t="n">
        <v>87.9</v>
      </c>
    </row>
    <row r="1367" customFormat="false" ht="15" hidden="false" customHeight="false" outlineLevel="0" collapsed="false">
      <c r="A1367" s="0" t="s">
        <v>1398</v>
      </c>
      <c r="B1367" s="2" t="n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0" t="n">
        <v>1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2</v>
      </c>
      <c r="N1367" s="0" t="n">
        <v>0</v>
      </c>
      <c r="P1367" s="0" t="n">
        <v>70.5</v>
      </c>
    </row>
    <row r="1368" customFormat="false" ht="15" hidden="false" customHeight="false" outlineLevel="0" collapsed="false">
      <c r="A1368" s="0" t="s">
        <v>1399</v>
      </c>
      <c r="B1368" s="2" t="n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0" t="n">
        <v>1</v>
      </c>
      <c r="I1368" s="0" t="n">
        <v>1</v>
      </c>
      <c r="J1368" s="0" t="n">
        <v>0</v>
      </c>
      <c r="K1368" s="0" t="n">
        <v>0</v>
      </c>
      <c r="L1368" s="0" t="n">
        <v>0</v>
      </c>
      <c r="M1368" s="0" t="n">
        <v>2</v>
      </c>
      <c r="N1368" s="0" t="n">
        <v>0</v>
      </c>
      <c r="P1368" s="0" t="n">
        <v>58.5</v>
      </c>
    </row>
    <row r="1369" customFormat="false" ht="15" hidden="false" customHeight="false" outlineLevel="0" collapsed="false">
      <c r="A1369" s="0" t="s">
        <v>1400</v>
      </c>
      <c r="B1369" s="2" t="n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0" t="n">
        <v>1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P1369" s="0" t="n">
        <v>65.6</v>
      </c>
    </row>
    <row r="1370" customFormat="false" ht="15" hidden="false" customHeight="false" outlineLevel="0" collapsed="false">
      <c r="A1370" s="0" t="s">
        <v>1401</v>
      </c>
      <c r="B1370" s="2" t="n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0" t="n">
        <v>1</v>
      </c>
      <c r="I1370" s="0" t="n">
        <v>1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P1370" s="0" t="n">
        <v>62.7</v>
      </c>
    </row>
    <row r="1371" customFormat="false" ht="15" hidden="false" customHeight="false" outlineLevel="0" collapsed="false">
      <c r="A1371" s="0" t="s">
        <v>1402</v>
      </c>
      <c r="B1371" s="2" t="n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0</v>
      </c>
      <c r="P1371" s="0" t="n">
        <v>50.9</v>
      </c>
    </row>
    <row r="1372" customFormat="false" ht="15" hidden="false" customHeight="false" outlineLevel="0" collapsed="false">
      <c r="A1372" s="0" t="s">
        <v>1403</v>
      </c>
      <c r="B1372" s="2" t="n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0</v>
      </c>
      <c r="P1372" s="0" t="n">
        <v>60.6</v>
      </c>
    </row>
    <row r="1373" customFormat="false" ht="15" hidden="false" customHeight="false" outlineLevel="0" collapsed="false">
      <c r="A1373" s="0" t="s">
        <v>1404</v>
      </c>
      <c r="B1373" s="2" t="n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0" t="n">
        <v>1</v>
      </c>
      <c r="I1373" s="0" t="n">
        <v>1</v>
      </c>
      <c r="J1373" s="0" t="n">
        <v>1</v>
      </c>
      <c r="K1373" s="0" t="n">
        <v>0</v>
      </c>
      <c r="L1373" s="0" t="n">
        <v>0</v>
      </c>
      <c r="M1373" s="0" t="n">
        <v>0</v>
      </c>
      <c r="N1373" s="0" t="n">
        <v>0</v>
      </c>
      <c r="P1373" s="0" t="n">
        <v>76.6</v>
      </c>
    </row>
    <row r="1374" customFormat="false" ht="15" hidden="false" customHeight="false" outlineLevel="0" collapsed="false">
      <c r="A1374" s="0" t="s">
        <v>1405</v>
      </c>
      <c r="B1374" s="2" t="n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0" t="n">
        <v>1</v>
      </c>
      <c r="I1374" s="0" t="n">
        <v>1</v>
      </c>
      <c r="J1374" s="0" t="n">
        <v>1</v>
      </c>
      <c r="K1374" s="0" t="n">
        <v>0</v>
      </c>
      <c r="L1374" s="0" t="n">
        <v>0</v>
      </c>
      <c r="M1374" s="0" t="n">
        <v>0</v>
      </c>
      <c r="N1374" s="0" t="n">
        <v>0</v>
      </c>
      <c r="P1374" s="0" t="n">
        <v>54.4</v>
      </c>
    </row>
    <row r="1375" customFormat="false" ht="15" hidden="false" customHeight="false" outlineLevel="0" collapsed="false">
      <c r="A1375" s="0" t="s">
        <v>1406</v>
      </c>
      <c r="B1375" s="2" t="n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0" t="n">
        <v>1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P1375" s="0" t="n">
        <v>31.2</v>
      </c>
    </row>
    <row r="1376" customFormat="false" ht="15" hidden="false" customHeight="false" outlineLevel="0" collapsed="false">
      <c r="A1376" s="0" t="s">
        <v>1407</v>
      </c>
      <c r="B1376" s="2" t="n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0" t="n">
        <v>1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P1376" s="0" t="n">
        <v>72.4</v>
      </c>
    </row>
    <row r="1377" customFormat="false" ht="15" hidden="false" customHeight="false" outlineLevel="0" collapsed="false">
      <c r="A1377" s="0" t="s">
        <v>1408</v>
      </c>
      <c r="B1377" s="2" t="n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0" t="n">
        <v>1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P1377" s="0" t="n">
        <v>74.5</v>
      </c>
    </row>
    <row r="1378" customFormat="false" ht="15" hidden="false" customHeight="false" outlineLevel="0" collapsed="false">
      <c r="A1378" s="0" t="s">
        <v>1409</v>
      </c>
      <c r="B1378" s="2" t="n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P1378" s="0" t="n">
        <v>52.6</v>
      </c>
    </row>
    <row r="1379" customFormat="false" ht="15" hidden="false" customHeight="false" outlineLevel="0" collapsed="false">
      <c r="A1379" s="0" t="s">
        <v>1410</v>
      </c>
      <c r="B1379" s="2" t="n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0" t="n">
        <v>1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P1379" s="0" t="n">
        <v>75.4</v>
      </c>
    </row>
    <row r="1380" customFormat="false" ht="15" hidden="false" customHeight="false" outlineLevel="0" collapsed="false">
      <c r="A1380" s="0" t="s">
        <v>1411</v>
      </c>
      <c r="B1380" s="2" t="n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0" t="n">
        <v>1</v>
      </c>
      <c r="I1380" s="0" t="n">
        <v>1</v>
      </c>
      <c r="J1380" s="0" t="n">
        <v>1</v>
      </c>
      <c r="K1380" s="0" t="n">
        <v>1</v>
      </c>
      <c r="L1380" s="0" t="n">
        <v>751.33</v>
      </c>
      <c r="M1380" s="0" t="n">
        <v>0</v>
      </c>
      <c r="N1380" s="0" t="n">
        <v>0</v>
      </c>
      <c r="O1380" s="0" t="n">
        <v>9</v>
      </c>
      <c r="P1380" s="0" t="n">
        <v>34</v>
      </c>
    </row>
    <row r="1381" customFormat="false" ht="15" hidden="false" customHeight="false" outlineLevel="0" collapsed="false">
      <c r="A1381" s="0" t="s">
        <v>1412</v>
      </c>
      <c r="B1381" s="2" t="n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0" t="n">
        <v>1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P1381" s="0" t="n">
        <v>67.1</v>
      </c>
    </row>
    <row r="1382" customFormat="false" ht="15" hidden="false" customHeight="false" outlineLevel="0" collapsed="false">
      <c r="A1382" s="0" t="s">
        <v>1413</v>
      </c>
      <c r="B1382" s="2" t="n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0" t="n">
        <v>1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P1382" s="0" t="n">
        <v>37.3</v>
      </c>
    </row>
    <row r="1383" customFormat="false" ht="15" hidden="false" customHeight="false" outlineLevel="0" collapsed="false">
      <c r="A1383" s="0" t="s">
        <v>1414</v>
      </c>
      <c r="B1383" s="2" t="n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0" t="n">
        <v>1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P1383" s="0" t="n">
        <v>54.7</v>
      </c>
    </row>
    <row r="1384" customFormat="false" ht="15" hidden="false" customHeight="false" outlineLevel="0" collapsed="false">
      <c r="A1384" s="0" t="s">
        <v>1415</v>
      </c>
      <c r="B1384" s="2" t="n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0" t="n">
        <v>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P1384" s="0" t="n">
        <v>51.8</v>
      </c>
    </row>
    <row r="1385" customFormat="false" ht="15" hidden="false" customHeight="false" outlineLevel="0" collapsed="false">
      <c r="A1385" s="0" t="s">
        <v>1416</v>
      </c>
      <c r="B1385" s="2" t="n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P1385" s="0" t="n">
        <v>49.2</v>
      </c>
    </row>
    <row r="1386" customFormat="false" ht="15" hidden="false" customHeight="false" outlineLevel="0" collapsed="false">
      <c r="A1386" s="0" t="s">
        <v>1417</v>
      </c>
      <c r="B1386" s="2" t="n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0" t="n">
        <v>1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</v>
      </c>
      <c r="N1386" s="0" t="n">
        <v>0</v>
      </c>
      <c r="P1386" s="0" t="n">
        <v>58.8</v>
      </c>
    </row>
    <row r="1387" customFormat="false" ht="15" hidden="false" customHeight="false" outlineLevel="0" collapsed="false">
      <c r="A1387" s="0" t="s">
        <v>1418</v>
      </c>
      <c r="B1387" s="2" t="n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0</v>
      </c>
      <c r="P1387" s="0" t="n">
        <v>59.1</v>
      </c>
    </row>
    <row r="1388" customFormat="false" ht="15" hidden="false" customHeight="false" outlineLevel="0" collapsed="false">
      <c r="A1388" s="0" t="s">
        <v>1419</v>
      </c>
      <c r="B1388" s="2" t="n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0" t="n">
        <v>1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2</v>
      </c>
      <c r="N1388" s="0" t="n">
        <v>0</v>
      </c>
      <c r="P1388" s="0" t="n">
        <v>49.6</v>
      </c>
    </row>
    <row r="1389" customFormat="false" ht="15" hidden="false" customHeight="false" outlineLevel="0" collapsed="false">
      <c r="A1389" s="0" t="s">
        <v>1420</v>
      </c>
      <c r="B1389" s="2" t="n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P1389" s="0" t="n">
        <v>58.2</v>
      </c>
    </row>
    <row r="1390" customFormat="false" ht="15" hidden="false" customHeight="false" outlineLevel="0" collapsed="false">
      <c r="A1390" s="0" t="s">
        <v>1421</v>
      </c>
      <c r="B1390" s="2" t="n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0" t="n">
        <v>1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P1390" s="0" t="n">
        <v>66.8</v>
      </c>
    </row>
    <row r="1391" customFormat="false" ht="15" hidden="false" customHeight="false" outlineLevel="0" collapsed="false">
      <c r="A1391" s="0" t="s">
        <v>1422</v>
      </c>
      <c r="B1391" s="2" t="n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0" t="n">
        <v>1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3</v>
      </c>
      <c r="N1391" s="0" t="n">
        <v>0</v>
      </c>
      <c r="P1391" s="0" t="n">
        <v>58.3</v>
      </c>
    </row>
    <row r="1392" customFormat="false" ht="15" hidden="false" customHeight="false" outlineLevel="0" collapsed="false">
      <c r="A1392" s="0" t="s">
        <v>1423</v>
      </c>
      <c r="B1392" s="2" t="n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0" t="n">
        <v>1</v>
      </c>
      <c r="I1392" s="0" t="n">
        <v>1</v>
      </c>
      <c r="J1392" s="0" t="n">
        <v>1</v>
      </c>
      <c r="K1392" s="0" t="n">
        <v>0</v>
      </c>
      <c r="L1392" s="0" t="n">
        <v>0</v>
      </c>
      <c r="M1392" s="0" t="n">
        <v>0</v>
      </c>
      <c r="N1392" s="0" t="n">
        <v>0</v>
      </c>
      <c r="P1392" s="0" t="n">
        <v>38.5</v>
      </c>
    </row>
    <row r="1393" customFormat="false" ht="15" hidden="false" customHeight="false" outlineLevel="0" collapsed="false">
      <c r="A1393" s="0" t="s">
        <v>1424</v>
      </c>
      <c r="B1393" s="2" t="n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0" t="n">
        <v>1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P1393" s="0" t="n">
        <v>76.9</v>
      </c>
    </row>
    <row r="1394" customFormat="false" ht="15" hidden="false" customHeight="false" outlineLevel="0" collapsed="false">
      <c r="A1394" s="0" t="s">
        <v>1425</v>
      </c>
      <c r="B1394" s="2" t="n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0" t="n">
        <v>1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P1394" s="0" t="n">
        <v>54</v>
      </c>
    </row>
    <row r="1395" customFormat="false" ht="15" hidden="false" customHeight="false" outlineLevel="0" collapsed="false">
      <c r="A1395" s="0" t="s">
        <v>1426</v>
      </c>
      <c r="B1395" s="2" t="n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0" t="n">
        <v>1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P1395" s="0" t="n">
        <v>70.6</v>
      </c>
    </row>
    <row r="1396" customFormat="false" ht="15" hidden="false" customHeight="false" outlineLevel="0" collapsed="false">
      <c r="A1396" s="0" t="s">
        <v>1427</v>
      </c>
      <c r="B1396" s="2" t="n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0" t="n">
        <v>1</v>
      </c>
      <c r="I1396" s="0" t="n">
        <v>1</v>
      </c>
      <c r="J1396" s="0" t="n">
        <v>1</v>
      </c>
      <c r="K1396" s="0" t="n">
        <v>0</v>
      </c>
      <c r="L1396" s="0" t="n">
        <v>0</v>
      </c>
      <c r="M1396" s="0" t="n">
        <v>1</v>
      </c>
      <c r="N1396" s="0" t="n">
        <v>0</v>
      </c>
      <c r="P1396" s="0" t="n">
        <v>69.4</v>
      </c>
    </row>
    <row r="1397" customFormat="false" ht="15" hidden="false" customHeight="false" outlineLevel="0" collapsed="false">
      <c r="A1397" s="0" t="s">
        <v>1428</v>
      </c>
      <c r="B1397" s="2" t="n">
        <v>45699</v>
      </c>
      <c r="C1397" s="3" t="s">
        <v>723</v>
      </c>
      <c r="D1397" s="3" t="s">
        <v>32</v>
      </c>
      <c r="E1397" s="3" t="s">
        <v>24</v>
      </c>
      <c r="G1397" s="3" t="s">
        <v>30</v>
      </c>
      <c r="H1397" s="0" t="n">
        <v>1</v>
      </c>
      <c r="I1397" s="0" t="n">
        <v>1</v>
      </c>
      <c r="J1397" s="0" t="n">
        <v>1</v>
      </c>
      <c r="K1397" s="0" t="n">
        <v>1</v>
      </c>
      <c r="L1397" s="0" t="n">
        <v>1009.9</v>
      </c>
      <c r="M1397" s="0" t="n">
        <v>0</v>
      </c>
      <c r="N1397" s="0" t="n">
        <v>0</v>
      </c>
      <c r="O1397" s="0" t="n">
        <v>6</v>
      </c>
      <c r="P1397" s="0" t="n">
        <v>89.7</v>
      </c>
    </row>
    <row r="1398" customFormat="false" ht="15" hidden="false" customHeight="false" outlineLevel="0" collapsed="false">
      <c r="A1398" s="0" t="s">
        <v>1429</v>
      </c>
      <c r="B1398" s="2" t="n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0" t="n">
        <v>1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P1398" s="0" t="n">
        <v>62.4</v>
      </c>
    </row>
    <row r="1399" customFormat="false" ht="15" hidden="false" customHeight="false" outlineLevel="0" collapsed="false">
      <c r="A1399" s="0" t="s">
        <v>1430</v>
      </c>
      <c r="B1399" s="2" t="n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P1399" s="0" t="n">
        <v>67.3</v>
      </c>
    </row>
    <row r="1400" customFormat="false" ht="15" hidden="false" customHeight="false" outlineLevel="0" collapsed="false">
      <c r="A1400" s="0" t="s">
        <v>1431</v>
      </c>
      <c r="B1400" s="2" t="n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0" t="n">
        <v>1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P1400" s="0" t="n">
        <v>54.9</v>
      </c>
    </row>
    <row r="1401" customFormat="false" ht="15" hidden="false" customHeight="false" outlineLevel="0" collapsed="false">
      <c r="A1401" s="0" t="s">
        <v>1432</v>
      </c>
      <c r="B1401" s="2" t="n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P1401" s="0" t="n">
        <v>55.7</v>
      </c>
    </row>
    <row r="1402" customFormat="false" ht="15" hidden="false" customHeight="false" outlineLevel="0" collapsed="false">
      <c r="A1402" s="0" t="s">
        <v>949</v>
      </c>
      <c r="B1402" s="2" t="n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0" t="n">
        <v>1</v>
      </c>
      <c r="I1402" s="0" t="n">
        <v>1</v>
      </c>
      <c r="J1402" s="0" t="n">
        <v>1</v>
      </c>
      <c r="K1402" s="0" t="n">
        <v>0</v>
      </c>
      <c r="L1402" s="0" t="n">
        <v>0</v>
      </c>
      <c r="M1402" s="0" t="n">
        <v>0</v>
      </c>
      <c r="N1402" s="0" t="n">
        <v>0</v>
      </c>
      <c r="P1402" s="0" t="n">
        <v>70.6</v>
      </c>
    </row>
    <row r="1403" customFormat="false" ht="15" hidden="false" customHeight="false" outlineLevel="0" collapsed="false">
      <c r="A1403" s="0" t="s">
        <v>464</v>
      </c>
      <c r="B1403" s="2" t="n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0" t="n">
        <v>1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P1403" s="0" t="n">
        <v>60.9</v>
      </c>
    </row>
    <row r="1404" customFormat="false" ht="15" hidden="false" customHeight="false" outlineLevel="0" collapsed="false">
      <c r="A1404" s="0" t="s">
        <v>1394</v>
      </c>
      <c r="B1404" s="2" t="n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0" t="n">
        <v>1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P1404" s="0" t="n">
        <v>33.6</v>
      </c>
    </row>
    <row r="1405" customFormat="false" ht="15" hidden="false" customHeight="false" outlineLevel="0" collapsed="false">
      <c r="A1405" s="0" t="s">
        <v>127</v>
      </c>
      <c r="B1405" s="2" t="n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P1405" s="0" t="n">
        <v>68</v>
      </c>
    </row>
    <row r="1406" customFormat="false" ht="15" hidden="false" customHeight="false" outlineLevel="0" collapsed="false">
      <c r="A1406" s="0" t="s">
        <v>1242</v>
      </c>
      <c r="B1406" s="2" t="n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0" t="n">
        <v>1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P1406" s="0" t="n">
        <v>62</v>
      </c>
    </row>
    <row r="1407" customFormat="false" ht="15" hidden="false" customHeight="false" outlineLevel="0" collapsed="false">
      <c r="A1407" s="0" t="s">
        <v>1264</v>
      </c>
      <c r="B1407" s="2" t="n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0" t="n">
        <v>1</v>
      </c>
      <c r="I1407" s="0" t="n">
        <v>1</v>
      </c>
      <c r="J1407" s="0" t="n">
        <v>1</v>
      </c>
      <c r="K1407" s="0" t="n">
        <v>0</v>
      </c>
      <c r="L1407" s="0" t="n">
        <v>0</v>
      </c>
      <c r="M1407" s="0" t="n">
        <v>1</v>
      </c>
      <c r="N1407" s="0" t="n">
        <v>0</v>
      </c>
      <c r="P1407" s="0" t="n">
        <v>72.5</v>
      </c>
    </row>
    <row r="1408" customFormat="false" ht="15" hidden="false" customHeight="false" outlineLevel="0" collapsed="false">
      <c r="A1408" s="0" t="s">
        <v>1091</v>
      </c>
      <c r="B1408" s="2" t="n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0" t="n">
        <v>1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P1408" s="0" t="n">
        <v>70.3</v>
      </c>
    </row>
    <row r="1409" customFormat="false" ht="15" hidden="false" customHeight="false" outlineLevel="0" collapsed="false">
      <c r="A1409" s="0" t="s">
        <v>572</v>
      </c>
      <c r="B1409" s="2" t="n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0" t="n">
        <v>1</v>
      </c>
      <c r="I1409" s="0" t="n">
        <v>1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P1409" s="0" t="n"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8"/>
    <col collapsed="false" customWidth="true" hidden="false" outlineLevel="0" max="4" min="4" style="0" width="55"/>
  </cols>
  <sheetData>
    <row r="1" customFormat="false" ht="17.35" hidden="false" customHeight="false" outlineLevel="0" collapsed="false">
      <c r="A1" s="4" t="s">
        <v>1433</v>
      </c>
    </row>
    <row r="2" customFormat="false" ht="15" hidden="false" customHeight="false" outlineLevel="0" collapsed="false">
      <c r="A2" s="5" t="s">
        <v>1434</v>
      </c>
    </row>
    <row r="4" customFormat="false" ht="15" hidden="false" customHeight="false" outlineLevel="0" collapsed="false">
      <c r="A4" s="6" t="s">
        <v>1435</v>
      </c>
    </row>
    <row r="5" customFormat="false" ht="15" hidden="false" customHeight="false" outlineLevel="0" collapsed="false">
      <c r="A5" s="7" t="s">
        <v>1436</v>
      </c>
      <c r="B5" s="7" t="n">
        <f aca="false">COUNTA(raw_data!A2:A100000)</f>
        <v>1408</v>
      </c>
    </row>
    <row r="7" customFormat="false" ht="15" hidden="false" customHeight="false" outlineLevel="0" collapsed="false">
      <c r="A7" s="6" t="s">
        <v>1437</v>
      </c>
    </row>
    <row r="8" customFormat="false" ht="15" hidden="false" customHeight="false" outlineLevel="0" collapsed="false">
      <c r="A8" s="1" t="s">
        <v>1438</v>
      </c>
      <c r="B8" s="1" t="s">
        <v>1439</v>
      </c>
      <c r="C8" s="1" t="s">
        <v>1440</v>
      </c>
      <c r="D8" s="1" t="s">
        <v>1441</v>
      </c>
    </row>
    <row r="9" customFormat="false" ht="15" hidden="false" customHeight="false" outlineLevel="0" collapsed="false">
      <c r="A9" s="7" t="s">
        <v>0</v>
      </c>
      <c r="B9" s="7" t="n">
        <f aca="false">COUNTBLANK(raw_data!A2:A1409)</f>
        <v>0</v>
      </c>
      <c r="C9" s="8" t="n">
        <f aca="false">B9/COUNTA(raw_data!A2:A100000)</f>
        <v>0</v>
      </c>
      <c r="D9" s="5"/>
    </row>
    <row r="10" customFormat="false" ht="15" hidden="false" customHeight="false" outlineLevel="0" collapsed="false">
      <c r="A10" s="7" t="s">
        <v>1</v>
      </c>
      <c r="B10" s="7" t="n">
        <f aca="false">COUNTBLANK(raw_data!B2:B1409)</f>
        <v>0</v>
      </c>
      <c r="C10" s="8" t="n">
        <f aca="false">B10/COUNTA(raw_data!A2:A100000)</f>
        <v>0</v>
      </c>
      <c r="D10" s="5"/>
    </row>
    <row r="11" customFormat="false" ht="15" hidden="false" customHeight="false" outlineLevel="0" collapsed="false">
      <c r="A11" s="7" t="s">
        <v>2</v>
      </c>
      <c r="B11" s="7" t="n">
        <f aca="false">COUNTBLANK(raw_data!C2:C1409)</f>
        <v>0</v>
      </c>
      <c r="C11" s="8" t="n">
        <f aca="false">B11/COUNTA(raw_data!A2:A100000)</f>
        <v>0</v>
      </c>
      <c r="D11" s="5"/>
    </row>
    <row r="12" customFormat="false" ht="15" hidden="false" customHeight="false" outlineLevel="0" collapsed="false">
      <c r="A12" s="7" t="s">
        <v>3</v>
      </c>
      <c r="B12" s="7" t="n">
        <f aca="false">COUNTBLANK(raw_data!D2:D1409)</f>
        <v>0</v>
      </c>
      <c r="C12" s="8" t="n">
        <f aca="false">B12/COUNTA(raw_data!A2:A100000)</f>
        <v>0</v>
      </c>
      <c r="D12" s="5"/>
    </row>
    <row r="13" customFormat="false" ht="15" hidden="false" customHeight="false" outlineLevel="0" collapsed="false">
      <c r="A13" s="7" t="s">
        <v>4</v>
      </c>
      <c r="B13" s="7" t="n">
        <f aca="false">COUNTBLANK(raw_data!E2:E1409)</f>
        <v>18</v>
      </c>
      <c r="C13" s="8" t="n">
        <f aca="false">B13/COUNTA(raw_data!A2:A100000)</f>
        <v>0.0127840909090909</v>
      </c>
      <c r="D13" s="5" t="s">
        <v>1442</v>
      </c>
    </row>
    <row r="14" customFormat="false" ht="15" hidden="false" customHeight="false" outlineLevel="0" collapsed="false">
      <c r="A14" s="7" t="s">
        <v>5</v>
      </c>
      <c r="B14" s="7" t="n">
        <f aca="false">COUNTBLANK(raw_data!F2:F1409)</f>
        <v>24</v>
      </c>
      <c r="C14" s="8" t="n">
        <f aca="false">B14/COUNTA(raw_data!A2:A100000)</f>
        <v>0.0170454545454545</v>
      </c>
      <c r="D14" s="5" t="s">
        <v>1443</v>
      </c>
    </row>
    <row r="15" customFormat="false" ht="15" hidden="false" customHeight="false" outlineLevel="0" collapsed="false">
      <c r="A15" s="7" t="s">
        <v>6</v>
      </c>
      <c r="B15" s="7" t="n">
        <f aca="false">COUNTBLANK(raw_data!G2:G1409)</f>
        <v>0</v>
      </c>
      <c r="C15" s="8" t="n">
        <f aca="false">B15/COUNTA(raw_data!A2:A100000)</f>
        <v>0</v>
      </c>
      <c r="D15" s="5"/>
    </row>
    <row r="16" customFormat="false" ht="15" hidden="false" customHeight="false" outlineLevel="0" collapsed="false">
      <c r="A16" s="7" t="s">
        <v>7</v>
      </c>
      <c r="B16" s="7" t="n">
        <f aca="false">COUNTBLANK(raw_data!H2:H1409)</f>
        <v>0</v>
      </c>
      <c r="C16" s="8" t="n">
        <f aca="false">B16/COUNTA(raw_data!A2:A100000)</f>
        <v>0</v>
      </c>
      <c r="D16" s="5"/>
    </row>
    <row r="17" customFormat="false" ht="15" hidden="false" customHeight="false" outlineLevel="0" collapsed="false">
      <c r="A17" s="7" t="s">
        <v>8</v>
      </c>
      <c r="B17" s="7" t="n">
        <f aca="false">COUNTBLANK(raw_data!I2:I1409)</f>
        <v>0</v>
      </c>
      <c r="C17" s="8" t="n">
        <f aca="false">B17/COUNTA(raw_data!A2:A100000)</f>
        <v>0</v>
      </c>
      <c r="D17" s="5"/>
    </row>
    <row r="18" customFormat="false" ht="15" hidden="false" customHeight="false" outlineLevel="0" collapsed="false">
      <c r="A18" s="7" t="s">
        <v>9</v>
      </c>
      <c r="B18" s="7" t="n">
        <f aca="false">COUNTBLANK(raw_data!J2:J1409)</f>
        <v>0</v>
      </c>
      <c r="C18" s="8" t="n">
        <f aca="false">B18/COUNTA(raw_data!A2:A100000)</f>
        <v>0</v>
      </c>
      <c r="D18" s="5"/>
    </row>
    <row r="19" customFormat="false" ht="15" hidden="false" customHeight="false" outlineLevel="0" collapsed="false">
      <c r="A19" s="7" t="s">
        <v>10</v>
      </c>
      <c r="B19" s="7" t="n">
        <f aca="false">COUNTBLANK(raw_data!K2:K1409)</f>
        <v>0</v>
      </c>
      <c r="C19" s="8" t="n">
        <f aca="false">B19/COUNTA(raw_data!A2:A100000)</f>
        <v>0</v>
      </c>
      <c r="D19" s="5"/>
    </row>
    <row r="20" customFormat="false" ht="15" hidden="false" customHeight="false" outlineLevel="0" collapsed="false">
      <c r="A20" s="7" t="s">
        <v>11</v>
      </c>
      <c r="B20" s="7" t="n">
        <f aca="false">COUNTBLANK(raw_data!L2:L1409)</f>
        <v>0</v>
      </c>
      <c r="C20" s="8" t="n">
        <f aca="false">B20/COUNTA(raw_data!A2:A100000)</f>
        <v>0</v>
      </c>
      <c r="D20" s="5"/>
    </row>
    <row r="21" customFormat="false" ht="15" hidden="false" customHeight="false" outlineLevel="0" collapsed="false">
      <c r="A21" s="7" t="s">
        <v>12</v>
      </c>
      <c r="B21" s="7" t="n">
        <f aca="false">COUNTBLANK(raw_data!M2:M1409)</f>
        <v>0</v>
      </c>
      <c r="C21" s="8" t="n">
        <f aca="false">B21/COUNTA(raw_data!A2:A100000)</f>
        <v>0</v>
      </c>
      <c r="D21" s="5"/>
    </row>
    <row r="22" customFormat="false" ht="15" hidden="false" customHeight="false" outlineLevel="0" collapsed="false">
      <c r="A22" s="7" t="s">
        <v>13</v>
      </c>
      <c r="B22" s="7" t="n">
        <f aca="false">COUNTBLANK(raw_data!N2:N1409)</f>
        <v>0</v>
      </c>
      <c r="C22" s="8" t="n">
        <f aca="false">B22/COUNTA(raw_data!A2:A100000)</f>
        <v>0</v>
      </c>
      <c r="D22" s="5"/>
    </row>
    <row r="23" customFormat="false" ht="15" hidden="false" customHeight="false" outlineLevel="0" collapsed="false">
      <c r="A23" s="7" t="s">
        <v>14</v>
      </c>
      <c r="B23" s="7" t="n">
        <f aca="false">COUNTBLANK(raw_data!O2:O1409)</f>
        <v>1336</v>
      </c>
      <c r="C23" s="8" t="n">
        <f aca="false">B23/COUNTA(raw_data!A2:A100000)</f>
        <v>0.948863636363636</v>
      </c>
      <c r="D23" s="5" t="s">
        <v>1444</v>
      </c>
    </row>
    <row r="24" customFormat="false" ht="15" hidden="false" customHeight="false" outlineLevel="0" collapsed="false">
      <c r="A24" s="7" t="s">
        <v>15</v>
      </c>
      <c r="B24" s="7" t="n">
        <f aca="false">COUNTBLANK(raw_data!P2:P1409)</f>
        <v>14</v>
      </c>
      <c r="C24" s="8" t="n">
        <f aca="false">B24/COUNTA(raw_data!A2:A100000)</f>
        <v>0.00994318181818182</v>
      </c>
      <c r="D24" s="5" t="s">
        <v>1445</v>
      </c>
    </row>
    <row r="26" customFormat="false" ht="15" hidden="false" customHeight="false" outlineLevel="0" collapsed="false">
      <c r="A26" s="6" t="s">
        <v>1446</v>
      </c>
    </row>
    <row r="27" customFormat="false" ht="15" hidden="false" customHeight="false" outlineLevel="0" collapsed="false">
      <c r="A27" s="7" t="s">
        <v>17</v>
      </c>
      <c r="B27" s="7" t="n">
        <f aca="false">COUNTIF(raw_data!C2:C100000,"Control")</f>
        <v>693</v>
      </c>
    </row>
    <row r="28" customFormat="false" ht="15" hidden="false" customHeight="false" outlineLevel="0" collapsed="false">
      <c r="A28" s="7" t="s">
        <v>723</v>
      </c>
      <c r="B28" s="7" t="n">
        <f aca="false">COUNTIF(raw_data!C2:C100000,"Treatment")</f>
        <v>715</v>
      </c>
    </row>
    <row r="29" customFormat="false" ht="15" hidden="false" customHeight="false" outlineLevel="0" collapsed="false">
      <c r="A29" s="9" t="s">
        <v>1447</v>
      </c>
      <c r="B29" s="9" t="n">
        <f aca="false">B27+B28</f>
        <v>1408</v>
      </c>
    </row>
    <row r="31" customFormat="false" ht="15" hidden="false" customHeight="false" outlineLevel="0" collapsed="false">
      <c r="A31" s="6" t="s">
        <v>1448</v>
      </c>
    </row>
    <row r="32" customFormat="false" ht="15" hidden="false" customHeight="false" outlineLevel="0" collapsed="false">
      <c r="A32" s="7" t="s">
        <v>1449</v>
      </c>
      <c r="B32" s="7" t="n">
        <f aca="false">SUMPRODUCT(1/COUNTIF(raw_data!A2:A1409,raw_data!A2:A1409))</f>
        <v>1400</v>
      </c>
    </row>
    <row r="33" customFormat="false" ht="15" hidden="false" customHeight="false" outlineLevel="0" collapsed="false">
      <c r="A33" s="7" t="s">
        <v>1450</v>
      </c>
      <c r="B33" s="7" t="n">
        <f aca="false">COUNTA(raw_data!A2:A100000)-B32</f>
        <v>8</v>
      </c>
    </row>
    <row r="34" customFormat="false" ht="15" hidden="false" customHeight="false" outlineLevel="0" collapsed="false">
      <c r="A34" s="5" t="s">
        <v>1451</v>
      </c>
      <c r="B34" s="5" t="s">
        <v>1452</v>
      </c>
    </row>
    <row r="36" customFormat="false" ht="15" hidden="false" customHeight="false" outlineLevel="0" collapsed="false">
      <c r="A36" s="6" t="s">
        <v>1453</v>
      </c>
    </row>
    <row r="37" customFormat="false" ht="23.85" hidden="false" customHeight="false" outlineLevel="0" collapsed="false">
      <c r="A37" s="1" t="s">
        <v>1438</v>
      </c>
      <c r="B37" s="1" t="s">
        <v>1454</v>
      </c>
      <c r="C37" s="1" t="s">
        <v>1441</v>
      </c>
    </row>
    <row r="38" customFormat="false" ht="15" hidden="false" customHeight="false" outlineLevel="0" collapsed="false">
      <c r="A38" s="7" t="s">
        <v>7</v>
      </c>
      <c r="B38" s="7" t="n">
        <f aca="false">COUNTIFS(raw_data!H2:H1409,"&lt;&gt;0",raw_data!H2:H1409,"&lt;&gt;1")</f>
        <v>0</v>
      </c>
      <c r="C38" s="5" t="s">
        <v>1455</v>
      </c>
    </row>
    <row r="39" customFormat="false" ht="15" hidden="false" customHeight="false" outlineLevel="0" collapsed="false">
      <c r="A39" s="7" t="s">
        <v>8</v>
      </c>
      <c r="B39" s="7" t="n">
        <f aca="false">COUNTIFS(raw_data!I2:I1409,"&lt;&gt;0",raw_data!I2:I1409,"&lt;&gt;1")</f>
        <v>0</v>
      </c>
      <c r="C39" s="5" t="s">
        <v>1455</v>
      </c>
    </row>
    <row r="40" customFormat="false" ht="15" hidden="false" customHeight="false" outlineLevel="0" collapsed="false">
      <c r="A40" s="7" t="s">
        <v>9</v>
      </c>
      <c r="B40" s="7" t="n">
        <f aca="false">COUNTIFS(raw_data!J2:J1409,"&lt;&gt;0",raw_data!J2:J1409,"&lt;&gt;1")</f>
        <v>0</v>
      </c>
      <c r="C40" s="5" t="s">
        <v>1455</v>
      </c>
    </row>
    <row r="41" customFormat="false" ht="15" hidden="false" customHeight="false" outlineLevel="0" collapsed="false">
      <c r="A41" s="7" t="s">
        <v>10</v>
      </c>
      <c r="B41" s="7" t="n">
        <f aca="false">COUNTIFS(raw_data!K2:K1409,"&lt;&gt;0",raw_data!K2:K1409,"&lt;&gt;1")</f>
        <v>0</v>
      </c>
      <c r="C41" s="5" t="s">
        <v>1455</v>
      </c>
    </row>
    <row r="42" customFormat="false" ht="15" hidden="false" customHeight="false" outlineLevel="0" collapsed="false">
      <c r="A42" s="7" t="s">
        <v>13</v>
      </c>
      <c r="B42" s="7" t="n">
        <f aca="false">COUNTIFS(raw_data!N2:N1409,"&lt;&gt;0",raw_data!N2:N1409,"&lt;&gt;1")</f>
        <v>0</v>
      </c>
      <c r="C42" s="5" t="s">
        <v>1455</v>
      </c>
    </row>
    <row r="44" customFormat="false" ht="15" hidden="false" customHeight="false" outlineLevel="0" collapsed="false">
      <c r="A44" s="6" t="s">
        <v>1456</v>
      </c>
    </row>
    <row r="45" customFormat="false" ht="15" hidden="false" customHeight="false" outlineLevel="0" collapsed="false">
      <c r="A45" s="7" t="s">
        <v>1457</v>
      </c>
      <c r="B45" s="10" t="n">
        <v>404.02</v>
      </c>
    </row>
    <row r="46" customFormat="false" ht="15" hidden="false" customHeight="false" outlineLevel="0" collapsed="false">
      <c r="A46" s="7" t="s">
        <v>1458</v>
      </c>
      <c r="B46" s="10" t="n">
        <v>1178.665</v>
      </c>
    </row>
    <row r="47" customFormat="false" ht="15" hidden="false" customHeight="false" outlineLevel="0" collapsed="false">
      <c r="A47" s="7" t="s">
        <v>1459</v>
      </c>
      <c r="B47" s="10" t="n">
        <f aca="false">B46-B45</f>
        <v>774.645</v>
      </c>
    </row>
    <row r="48" customFormat="false" ht="15" hidden="false" customHeight="false" outlineLevel="0" collapsed="false">
      <c r="A48" s="7" t="s">
        <v>1460</v>
      </c>
      <c r="B48" s="10" t="n">
        <f aca="false">B46+1.5*B47</f>
        <v>2340.6325</v>
      </c>
    </row>
    <row r="49" customFormat="false" ht="15" hidden="false" customHeight="false" outlineLevel="0" collapsed="false">
      <c r="A49" s="7" t="s">
        <v>1461</v>
      </c>
      <c r="B49" s="7" t="n">
        <f aca="false">SUMPRODUCT((raw_data!J2:J1409=1)*(raw_data!K2:K1409&gt;B48))</f>
        <v>0</v>
      </c>
    </row>
    <row r="50" customFormat="false" ht="15" hidden="false" customHeight="false" outlineLevel="0" collapsed="false">
      <c r="A50" s="5" t="s">
        <v>1451</v>
      </c>
      <c r="B50" s="5" t="s">
        <v>1462</v>
      </c>
    </row>
    <row r="52" customFormat="false" ht="15" hidden="false" customHeight="false" outlineLevel="0" collapsed="false">
      <c r="A52" s="6" t="s">
        <v>1463</v>
      </c>
    </row>
    <row r="53" customFormat="false" ht="15" hidden="false" customHeight="false" outlineLevel="0" collapsed="false">
      <c r="A53" s="5" t="s">
        <v>1464</v>
      </c>
    </row>
    <row r="54" customFormat="false" ht="15" hidden="false" customHeight="false" outlineLevel="0" collapsed="false">
      <c r="A54" s="5" t="s">
        <v>1465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5"/>
    <col collapsed="false" customWidth="true" hidden="false" outlineLevel="0" max="10" min="10" style="0" width="22"/>
    <col collapsed="false" customWidth="true" hidden="false" outlineLevel="0" max="11" min="11" style="0" width="19"/>
    <col collapsed="false" customWidth="true" hidden="false" outlineLevel="0" max="12" min="12" style="0" width="14"/>
    <col collapsed="false" customWidth="true" hidden="false" outlineLevel="0" max="13" min="13" style="0" width="21"/>
    <col collapsed="false" customWidth="true" hidden="false" outlineLevel="0" max="14" min="14" style="0" width="18"/>
    <col collapsed="false" customWidth="true" hidden="false" outlineLevel="0" max="15" min="15" style="0" width="17"/>
    <col collapsed="false" customWidth="true" hidden="false" outlineLevel="0" max="16" min="16" style="0" width="18"/>
    <col collapsed="false" customWidth="true" hidden="false" outlineLevel="0" max="20" min="17" style="0" width="2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1466</v>
      </c>
      <c r="R1" s="1" t="s">
        <v>1467</v>
      </c>
      <c r="S1" s="1" t="s">
        <v>1468</v>
      </c>
      <c r="T1" s="1" t="s">
        <v>1469</v>
      </c>
    </row>
    <row r="2" customFormat="false" ht="15" hidden="false" customHeight="false" outlineLevel="0" collapsed="false">
      <c r="A2" s="0" t="s">
        <v>16</v>
      </c>
      <c r="B2" s="2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P2" s="0" t="n">
        <v>45.7</v>
      </c>
      <c r="Q2" s="3" t="n">
        <f aca="false">IF($C2="Control",$P2,"")</f>
        <v>45.7</v>
      </c>
      <c r="R2" s="0" t="str">
        <f aca="false">IF($C2="Treatment",$P2,"")</f>
        <v/>
      </c>
      <c r="S2" s="0" t="str">
        <f aca="false">IF(AND($C2="Control",$K2=1),$L2,"")</f>
        <v/>
      </c>
      <c r="T2" s="0" t="str">
        <f aca="false">IF(AND($C2="Treatment",$K2=1),$L2,"")</f>
        <v/>
      </c>
    </row>
    <row r="3" customFormat="false" ht="15" hidden="false" customHeight="false" outlineLevel="0" collapsed="false">
      <c r="A3" s="0" t="s">
        <v>22</v>
      </c>
      <c r="B3" s="2" t="n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P3" s="0" t="n">
        <v>48.6</v>
      </c>
      <c r="Q3" s="3" t="n">
        <f aca="false">IF($C3="Control",$P3,"")</f>
        <v>48.6</v>
      </c>
      <c r="R3" s="0" t="str">
        <f aca="false">IF($C3="Treatment",$P3,"")</f>
        <v/>
      </c>
      <c r="S3" s="0" t="str">
        <f aca="false">IF(AND($C3="Control",$K3=1),$L3,"")</f>
        <v/>
      </c>
      <c r="T3" s="0" t="str">
        <f aca="false">IF(AND($C3="Treatment",$K3=1),$L3,"")</f>
        <v/>
      </c>
    </row>
    <row r="4" customFormat="false" ht="15" hidden="false" customHeight="false" outlineLevel="0" collapsed="false">
      <c r="A4" s="0" t="s">
        <v>27</v>
      </c>
      <c r="B4" s="2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P4" s="0" t="n">
        <v>35.4</v>
      </c>
      <c r="Q4" s="3" t="n">
        <f aca="false">IF($C4="Control",$P4,"")</f>
        <v>35.4</v>
      </c>
      <c r="R4" s="0" t="str">
        <f aca="false">IF($C4="Treatment",$P4,"")</f>
        <v/>
      </c>
      <c r="S4" s="0" t="str">
        <f aca="false">IF(AND($C4="Control",$K4=1),$L4,"")</f>
        <v/>
      </c>
      <c r="T4" s="0" t="str">
        <f aca="false">IF(AND($C4="Treatment",$K4=1),$L4,"")</f>
        <v/>
      </c>
    </row>
    <row r="5" customFormat="false" ht="15" hidden="false" customHeight="false" outlineLevel="0" collapsed="false">
      <c r="A5" s="0" t="s">
        <v>31</v>
      </c>
      <c r="B5" s="2" t="n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P5" s="0" t="n">
        <v>64.6</v>
      </c>
      <c r="Q5" s="3" t="n">
        <f aca="false">IF($C5="Control",$P5,"")</f>
        <v>64.6</v>
      </c>
      <c r="R5" s="0" t="str">
        <f aca="false">IF($C5="Treatment",$P5,"")</f>
        <v/>
      </c>
      <c r="S5" s="0" t="str">
        <f aca="false">IF(AND($C5="Control",$K5=1),$L5,"")</f>
        <v/>
      </c>
      <c r="T5" s="0" t="str">
        <f aca="false">IF(AND($C5="Treatment",$K5=1),$L5,"")</f>
        <v/>
      </c>
    </row>
    <row r="6" customFormat="false" ht="15" hidden="false" customHeight="false" outlineLevel="0" collapsed="false">
      <c r="A6" s="0" t="s">
        <v>33</v>
      </c>
      <c r="B6" s="2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P6" s="0" t="n">
        <v>66.6</v>
      </c>
      <c r="Q6" s="3" t="n">
        <f aca="false">IF($C6="Control",$P6,"")</f>
        <v>66.6</v>
      </c>
      <c r="R6" s="0" t="str">
        <f aca="false">IF($C6="Treatment",$P6,"")</f>
        <v/>
      </c>
      <c r="S6" s="0" t="str">
        <f aca="false">IF(AND($C6="Control",$K6=1),$L6,"")</f>
        <v/>
      </c>
      <c r="T6" s="0" t="str">
        <f aca="false">IF(AND($C6="Treatment",$K6=1),$L6,"")</f>
        <v/>
      </c>
    </row>
    <row r="7" customFormat="false" ht="15" hidden="false" customHeight="false" outlineLevel="0" collapsed="false">
      <c r="A7" s="0" t="s">
        <v>35</v>
      </c>
      <c r="B7" s="2" t="n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P7" s="0" t="n">
        <v>40.8</v>
      </c>
      <c r="Q7" s="3" t="n">
        <f aca="false">IF($C7="Control",$P7,"")</f>
        <v>40.8</v>
      </c>
      <c r="R7" s="0" t="str">
        <f aca="false">IF($C7="Treatment",$P7,"")</f>
        <v/>
      </c>
      <c r="S7" s="0" t="str">
        <f aca="false">IF(AND($C7="Control",$K7=1),$L7,"")</f>
        <v/>
      </c>
      <c r="T7" s="0" t="str">
        <f aca="false">IF(AND($C7="Treatment",$K7=1),$L7,"")</f>
        <v/>
      </c>
    </row>
    <row r="8" customFormat="false" ht="15" hidden="false" customHeight="false" outlineLevel="0" collapsed="false">
      <c r="A8" s="0" t="s">
        <v>36</v>
      </c>
      <c r="B8" s="2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P8" s="0" t="n">
        <v>57.1</v>
      </c>
      <c r="Q8" s="3" t="n">
        <f aca="false">IF($C8="Control",$P8,"")</f>
        <v>57.1</v>
      </c>
      <c r="R8" s="0" t="str">
        <f aca="false">IF($C8="Treatment",$P8,"")</f>
        <v/>
      </c>
      <c r="S8" s="0" t="str">
        <f aca="false">IF(AND($C8="Control",$K8=1),$L8,"")</f>
        <v/>
      </c>
      <c r="T8" s="0" t="str">
        <f aca="false">IF(AND($C8="Treatment",$K8=1),$L8,"")</f>
        <v/>
      </c>
    </row>
    <row r="9" customFormat="false" ht="15" hidden="false" customHeight="false" outlineLevel="0" collapsed="false">
      <c r="A9" s="0" t="s">
        <v>37</v>
      </c>
      <c r="B9" s="2" t="n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P9" s="0" t="n">
        <v>36.4</v>
      </c>
      <c r="Q9" s="3" t="n">
        <f aca="false">IF($C9="Control",$P9,"")</f>
        <v>36.4</v>
      </c>
      <c r="R9" s="0" t="str">
        <f aca="false">IF($C9="Treatment",$P9,"")</f>
        <v/>
      </c>
      <c r="S9" s="0" t="str">
        <f aca="false">IF(AND($C9="Control",$K9=1),$L9,"")</f>
        <v/>
      </c>
      <c r="T9" s="0" t="str">
        <f aca="false">IF(AND($C9="Treatment",$K9=1),$L9,"")</f>
        <v/>
      </c>
    </row>
    <row r="10" customFormat="false" ht="15" hidden="false" customHeight="false" outlineLevel="0" collapsed="false">
      <c r="A10" s="0" t="s">
        <v>38</v>
      </c>
      <c r="B10" s="2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P10" s="0" t="n">
        <v>55.4</v>
      </c>
      <c r="Q10" s="3" t="n">
        <f aca="false">IF($C10="Control",$P10,"")</f>
        <v>55.4</v>
      </c>
      <c r="R10" s="0" t="str">
        <f aca="false">IF($C10="Treatment",$P10,"")</f>
        <v/>
      </c>
      <c r="S10" s="0" t="str">
        <f aca="false">IF(AND($C10="Control",$K10=1),$L10,"")</f>
        <v/>
      </c>
      <c r="T10" s="0" t="str">
        <f aca="false">IF(AND($C10="Treatment",$K10=1),$L10,"")</f>
        <v/>
      </c>
    </row>
    <row r="11" customFormat="false" ht="15" hidden="false" customHeight="false" outlineLevel="0" collapsed="false">
      <c r="A11" s="0" t="s">
        <v>40</v>
      </c>
      <c r="B11" s="2" t="n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P11" s="0" t="n">
        <v>57.3</v>
      </c>
      <c r="Q11" s="3" t="n">
        <f aca="false">IF($C11="Control",$P11,"")</f>
        <v>57.3</v>
      </c>
      <c r="R11" s="0" t="str">
        <f aca="false">IF($C11="Treatment",$P11,"")</f>
        <v/>
      </c>
      <c r="S11" s="0" t="str">
        <f aca="false">IF(AND($C11="Control",$K11=1),$L11,"")</f>
        <v/>
      </c>
      <c r="T11" s="0" t="str">
        <f aca="false">IF(AND($C11="Treatment",$K11=1),$L11,"")</f>
        <v/>
      </c>
    </row>
    <row r="12" customFormat="false" ht="15" hidden="false" customHeight="false" outlineLevel="0" collapsed="false">
      <c r="A12" s="0" t="s">
        <v>42</v>
      </c>
      <c r="B12" s="2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P12" s="0" t="n">
        <v>63.6</v>
      </c>
      <c r="Q12" s="3" t="n">
        <f aca="false">IF($C12="Control",$P12,"")</f>
        <v>63.6</v>
      </c>
      <c r="R12" s="0" t="str">
        <f aca="false">IF($C12="Treatment",$P12,"")</f>
        <v/>
      </c>
      <c r="S12" s="0" t="str">
        <f aca="false">IF(AND($C12="Control",$K12=1),$L12,"")</f>
        <v/>
      </c>
      <c r="T12" s="0" t="str">
        <f aca="false">IF(AND($C12="Treatment",$K12=1),$L12,"")</f>
        <v/>
      </c>
    </row>
    <row r="13" customFormat="false" ht="15" hidden="false" customHeight="false" outlineLevel="0" collapsed="false">
      <c r="A13" s="0" t="s">
        <v>43</v>
      </c>
      <c r="B13" s="2" t="n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P13" s="0" t="n">
        <v>80.4</v>
      </c>
      <c r="Q13" s="3" t="n">
        <f aca="false">IF($C13="Control",$P13,"")</f>
        <v>80.4</v>
      </c>
      <c r="R13" s="0" t="str">
        <f aca="false">IF($C13="Treatment",$P13,"")</f>
        <v/>
      </c>
      <c r="S13" s="0" t="str">
        <f aca="false">IF(AND($C13="Control",$K13=1),$L13,"")</f>
        <v/>
      </c>
      <c r="T13" s="0" t="str">
        <f aca="false">IF(AND($C13="Treatment",$K13=1),$L13,"")</f>
        <v/>
      </c>
    </row>
    <row r="14" customFormat="false" ht="15" hidden="false" customHeight="false" outlineLevel="0" collapsed="false">
      <c r="A14" s="0" t="s">
        <v>44</v>
      </c>
      <c r="B14" s="2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P14" s="0" t="n">
        <v>62.4</v>
      </c>
      <c r="Q14" s="3" t="n">
        <f aca="false">IF($C14="Control",$P14,"")</f>
        <v>62.4</v>
      </c>
      <c r="R14" s="0" t="str">
        <f aca="false">IF($C14="Treatment",$P14,"")</f>
        <v/>
      </c>
      <c r="S14" s="0" t="str">
        <f aca="false">IF(AND($C14="Control",$K14=1),$L14,"")</f>
        <v/>
      </c>
      <c r="T14" s="0" t="str">
        <f aca="false">IF(AND($C14="Treatment",$K14=1),$L14,"")</f>
        <v/>
      </c>
    </row>
    <row r="15" customFormat="false" ht="15" hidden="false" customHeight="false" outlineLevel="0" collapsed="false">
      <c r="A15" s="0" t="s">
        <v>45</v>
      </c>
      <c r="B15" s="2" t="n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P15" s="0" t="n">
        <v>82.4</v>
      </c>
      <c r="Q15" s="3" t="n">
        <f aca="false">IF($C15="Control",$P15,"")</f>
        <v>82.4</v>
      </c>
      <c r="R15" s="0" t="str">
        <f aca="false">IF($C15="Treatment",$P15,"")</f>
        <v/>
      </c>
      <c r="S15" s="0" t="str">
        <f aca="false">IF(AND($C15="Control",$K15=1),$L15,"")</f>
        <v/>
      </c>
      <c r="T15" s="0" t="str">
        <f aca="false">IF(AND($C15="Treatment",$K15=1),$L15,"")</f>
        <v/>
      </c>
    </row>
    <row r="16" customFormat="false" ht="15" hidden="false" customHeight="false" outlineLevel="0" collapsed="false">
      <c r="A16" s="0" t="s">
        <v>46</v>
      </c>
      <c r="B16" s="2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P16" s="0" t="n">
        <v>61.2</v>
      </c>
      <c r="Q16" s="3" t="n">
        <f aca="false">IF($C16="Control",$P16,"")</f>
        <v>61.2</v>
      </c>
      <c r="R16" s="0" t="str">
        <f aca="false">IF($C16="Treatment",$P16,"")</f>
        <v/>
      </c>
      <c r="S16" s="0" t="str">
        <f aca="false">IF(AND($C16="Control",$K16=1),$L16,"")</f>
        <v/>
      </c>
      <c r="T16" s="0" t="str">
        <f aca="false">IF(AND($C16="Treatment",$K16=1),$L16,"")</f>
        <v/>
      </c>
    </row>
    <row r="17" customFormat="false" ht="15" hidden="false" customHeight="false" outlineLevel="0" collapsed="false">
      <c r="A17" s="0" t="s">
        <v>47</v>
      </c>
      <c r="B17" s="2" t="n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P17" s="0" t="n">
        <v>68.9</v>
      </c>
      <c r="Q17" s="3" t="n">
        <f aca="false">IF($C17="Control",$P17,"")</f>
        <v>68.9</v>
      </c>
      <c r="R17" s="0" t="str">
        <f aca="false">IF($C17="Treatment",$P17,"")</f>
        <v/>
      </c>
      <c r="S17" s="0" t="str">
        <f aca="false">IF(AND($C17="Control",$K17=1),$L17,"")</f>
        <v/>
      </c>
      <c r="T17" s="0" t="str">
        <f aca="false">IF(AND($C17="Treatment",$K17=1),$L17,"")</f>
        <v/>
      </c>
    </row>
    <row r="18" customFormat="false" ht="15" hidden="false" customHeight="false" outlineLevel="0" collapsed="false">
      <c r="A18" s="0" t="s">
        <v>48</v>
      </c>
      <c r="B18" s="2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P18" s="0" t="n">
        <v>71.9</v>
      </c>
      <c r="Q18" s="3" t="n">
        <f aca="false">IF($C18="Control",$P18,"")</f>
        <v>71.9</v>
      </c>
      <c r="R18" s="0" t="str">
        <f aca="false">IF($C18="Treatment",$P18,"")</f>
        <v/>
      </c>
      <c r="S18" s="0" t="str">
        <f aca="false">IF(AND($C18="Control",$K18=1),$L18,"")</f>
        <v/>
      </c>
      <c r="T18" s="0" t="str">
        <f aca="false">IF(AND($C18="Treatment",$K18=1),$L18,"")</f>
        <v/>
      </c>
    </row>
    <row r="19" customFormat="false" ht="15" hidden="false" customHeight="false" outlineLevel="0" collapsed="false">
      <c r="A19" s="0" t="s">
        <v>49</v>
      </c>
      <c r="B19" s="2" t="n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P19" s="0" t="n">
        <v>50.5</v>
      </c>
      <c r="Q19" s="3" t="n">
        <f aca="false">IF($C19="Control",$P19,"")</f>
        <v>50.5</v>
      </c>
      <c r="R19" s="0" t="str">
        <f aca="false">IF($C19="Treatment",$P19,"")</f>
        <v/>
      </c>
      <c r="S19" s="0" t="str">
        <f aca="false">IF(AND($C19="Control",$K19=1),$L19,"")</f>
        <v/>
      </c>
      <c r="T19" s="0" t="str">
        <f aca="false">IF(AND($C19="Treatment",$K19=1),$L19,"")</f>
        <v/>
      </c>
    </row>
    <row r="20" customFormat="false" ht="15" hidden="false" customHeight="false" outlineLevel="0" collapsed="false">
      <c r="A20" s="0" t="s">
        <v>50</v>
      </c>
      <c r="B20" s="2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P20" s="0" t="n">
        <v>49.3</v>
      </c>
      <c r="Q20" s="3" t="n">
        <f aca="false">IF($C20="Control",$P20,"")</f>
        <v>49.3</v>
      </c>
      <c r="R20" s="0" t="str">
        <f aca="false">IF($C20="Treatment",$P20,"")</f>
        <v/>
      </c>
      <c r="S20" s="0" t="str">
        <f aca="false">IF(AND($C20="Control",$K20=1),$L20,"")</f>
        <v/>
      </c>
      <c r="T20" s="0" t="str">
        <f aca="false">IF(AND($C20="Treatment",$K20=1),$L20,"")</f>
        <v/>
      </c>
    </row>
    <row r="21" customFormat="false" ht="15" hidden="false" customHeight="false" outlineLevel="0" collapsed="false">
      <c r="A21" s="0" t="s">
        <v>51</v>
      </c>
      <c r="B21" s="2" t="n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P21" s="0" t="n">
        <v>60.9</v>
      </c>
      <c r="Q21" s="3" t="n">
        <f aca="false">IF($C21="Control",$P21,"")</f>
        <v>60.9</v>
      </c>
      <c r="R21" s="0" t="str">
        <f aca="false">IF($C21="Treatment",$P21,"")</f>
        <v/>
      </c>
      <c r="S21" s="0" t="str">
        <f aca="false">IF(AND($C21="Control",$K21=1),$L21,"")</f>
        <v/>
      </c>
      <c r="T21" s="0" t="str">
        <f aca="false">IF(AND($C21="Treatment",$K21=1),$L21,"")</f>
        <v/>
      </c>
    </row>
    <row r="22" customFormat="false" ht="15" hidden="false" customHeight="false" outlineLevel="0" collapsed="false">
      <c r="A22" s="0" t="s">
        <v>52</v>
      </c>
      <c r="B22" s="2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P22" s="0" t="n">
        <v>62.7</v>
      </c>
      <c r="Q22" s="3" t="n">
        <f aca="false">IF($C22="Control",$P22,"")</f>
        <v>62.7</v>
      </c>
      <c r="R22" s="0" t="str">
        <f aca="false">IF($C22="Treatment",$P22,"")</f>
        <v/>
      </c>
      <c r="S22" s="0" t="str">
        <f aca="false">IF(AND($C22="Control",$K22=1),$L22,"")</f>
        <v/>
      </c>
      <c r="T22" s="0" t="str">
        <f aca="false">IF(AND($C22="Treatment",$K22=1),$L22,"")</f>
        <v/>
      </c>
    </row>
    <row r="23" customFormat="false" ht="15" hidden="false" customHeight="false" outlineLevel="0" collapsed="false">
      <c r="A23" s="0" t="s">
        <v>53</v>
      </c>
      <c r="B23" s="2" t="n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P23" s="0" t="n">
        <v>52.7</v>
      </c>
      <c r="Q23" s="3" t="n">
        <f aca="false">IF($C23="Control",$P23,"")</f>
        <v>52.7</v>
      </c>
      <c r="R23" s="0" t="str">
        <f aca="false">IF($C23="Treatment",$P23,"")</f>
        <v/>
      </c>
      <c r="S23" s="0" t="str">
        <f aca="false">IF(AND($C23="Control",$K23=1),$L23,"")</f>
        <v/>
      </c>
      <c r="T23" s="0" t="str">
        <f aca="false">IF(AND($C23="Treatment",$K23=1),$L23,"")</f>
        <v/>
      </c>
    </row>
    <row r="24" customFormat="false" ht="15" hidden="false" customHeight="false" outlineLevel="0" collapsed="false">
      <c r="A24" s="0" t="s">
        <v>54</v>
      </c>
      <c r="B24" s="2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P24" s="0" t="n">
        <v>54</v>
      </c>
      <c r="Q24" s="3" t="n">
        <f aca="false">IF($C24="Control",$P24,"")</f>
        <v>54</v>
      </c>
      <c r="R24" s="0" t="str">
        <f aca="false">IF($C24="Treatment",$P24,"")</f>
        <v/>
      </c>
      <c r="S24" s="0" t="str">
        <f aca="false">IF(AND($C24="Control",$K24=1),$L24,"")</f>
        <v/>
      </c>
      <c r="T24" s="0" t="str">
        <f aca="false">IF(AND($C24="Treatment",$K24=1),$L24,"")</f>
        <v/>
      </c>
    </row>
    <row r="25" customFormat="false" ht="15" hidden="false" customHeight="false" outlineLevel="0" collapsed="false">
      <c r="A25" s="0" t="s">
        <v>55</v>
      </c>
      <c r="B25" s="2" t="n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P25" s="0" t="n">
        <v>51.6</v>
      </c>
      <c r="Q25" s="3" t="n">
        <f aca="false">IF($C25="Control",$P25,"")</f>
        <v>51.6</v>
      </c>
      <c r="R25" s="0" t="str">
        <f aca="false">IF($C25="Treatment",$P25,"")</f>
        <v/>
      </c>
      <c r="S25" s="0" t="str">
        <f aca="false">IF(AND($C25="Control",$K25=1),$L25,"")</f>
        <v/>
      </c>
      <c r="T25" s="0" t="str">
        <f aca="false">IF(AND($C25="Treatment",$K25=1),$L25,"")</f>
        <v/>
      </c>
    </row>
    <row r="26" customFormat="false" ht="15" hidden="false" customHeight="false" outlineLevel="0" collapsed="false">
      <c r="A26" s="0" t="s">
        <v>56</v>
      </c>
      <c r="B26" s="2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P26" s="0" t="n">
        <v>66.9</v>
      </c>
      <c r="Q26" s="3" t="n">
        <f aca="false">IF($C26="Control",$P26,"")</f>
        <v>66.9</v>
      </c>
      <c r="R26" s="0" t="str">
        <f aca="false">IF($C26="Treatment",$P26,"")</f>
        <v/>
      </c>
      <c r="S26" s="0" t="str">
        <f aca="false">IF(AND($C26="Control",$K26=1),$L26,"")</f>
        <v/>
      </c>
      <c r="T26" s="0" t="str">
        <f aca="false">IF(AND($C26="Treatment",$K26=1),$L26,"")</f>
        <v/>
      </c>
    </row>
    <row r="27" customFormat="false" ht="15" hidden="false" customHeight="false" outlineLevel="0" collapsed="false">
      <c r="A27" s="0" t="s">
        <v>57</v>
      </c>
      <c r="B27" s="2" t="n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P27" s="0" t="n">
        <v>67.4</v>
      </c>
      <c r="Q27" s="3" t="n">
        <f aca="false">IF($C27="Control",$P27,"")</f>
        <v>67.4</v>
      </c>
      <c r="R27" s="0" t="str">
        <f aca="false">IF($C27="Treatment",$P27,"")</f>
        <v/>
      </c>
      <c r="S27" s="0" t="str">
        <f aca="false">IF(AND($C27="Control",$K27=1),$L27,"")</f>
        <v/>
      </c>
      <c r="T27" s="0" t="str">
        <f aca="false">IF(AND($C27="Treatment",$K27=1),$L27,"")</f>
        <v/>
      </c>
    </row>
    <row r="28" customFormat="false" ht="15" hidden="false" customHeight="false" outlineLevel="0" collapsed="false">
      <c r="A28" s="0" t="s">
        <v>58</v>
      </c>
      <c r="B28" s="2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P28" s="0" t="n">
        <v>58.8</v>
      </c>
      <c r="Q28" s="3" t="n">
        <f aca="false">IF($C28="Control",$P28,"")</f>
        <v>58.8</v>
      </c>
      <c r="R28" s="0" t="str">
        <f aca="false">IF($C28="Treatment",$P28,"")</f>
        <v/>
      </c>
      <c r="S28" s="0" t="str">
        <f aca="false">IF(AND($C28="Control",$K28=1),$L28,"")</f>
        <v/>
      </c>
      <c r="T28" s="0" t="str">
        <f aca="false">IF(AND($C28="Treatment",$K28=1),$L28,"")</f>
        <v/>
      </c>
    </row>
    <row r="29" customFormat="false" ht="15" hidden="false" customHeight="false" outlineLevel="0" collapsed="false">
      <c r="A29" s="0" t="s">
        <v>59</v>
      </c>
      <c r="B29" s="2" t="n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P29" s="0" t="n">
        <v>73.8</v>
      </c>
      <c r="Q29" s="3" t="n">
        <f aca="false">IF($C29="Control",$P29,"")</f>
        <v>73.8</v>
      </c>
      <c r="R29" s="0" t="str">
        <f aca="false">IF($C29="Treatment",$P29,"")</f>
        <v/>
      </c>
      <c r="S29" s="0" t="str">
        <f aca="false">IF(AND($C29="Control",$K29=1),$L29,"")</f>
        <v/>
      </c>
      <c r="T29" s="0" t="str">
        <f aca="false">IF(AND($C29="Treatment",$K29=1),$L29,"")</f>
        <v/>
      </c>
    </row>
    <row r="30" customFormat="false" ht="15" hidden="false" customHeight="false" outlineLevel="0" collapsed="false">
      <c r="A30" s="0" t="s">
        <v>60</v>
      </c>
      <c r="B30" s="2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P30" s="0" t="n">
        <v>60.1</v>
      </c>
      <c r="Q30" s="3" t="n">
        <f aca="false">IF($C30="Control",$P30,"")</f>
        <v>60.1</v>
      </c>
      <c r="R30" s="0" t="str">
        <f aca="false">IF($C30="Treatment",$P30,"")</f>
        <v/>
      </c>
      <c r="S30" s="0" t="str">
        <f aca="false">IF(AND($C30="Control",$K30=1),$L30,"")</f>
        <v/>
      </c>
      <c r="T30" s="0" t="str">
        <f aca="false">IF(AND($C30="Treatment",$K30=1),$L30,"")</f>
        <v/>
      </c>
    </row>
    <row r="31" customFormat="false" ht="15" hidden="false" customHeight="false" outlineLevel="0" collapsed="false">
      <c r="A31" s="0" t="s">
        <v>61</v>
      </c>
      <c r="B31" s="2" t="n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P31" s="0" t="n">
        <v>41</v>
      </c>
      <c r="Q31" s="3" t="n">
        <f aca="false">IF($C31="Control",$P31,"")</f>
        <v>41</v>
      </c>
      <c r="R31" s="0" t="str">
        <f aca="false">IF($C31="Treatment",$P31,"")</f>
        <v/>
      </c>
      <c r="S31" s="0" t="str">
        <f aca="false">IF(AND($C31="Control",$K31=1),$L31,"")</f>
        <v/>
      </c>
      <c r="T31" s="0" t="str">
        <f aca="false">IF(AND($C31="Treatment",$K31=1),$L31,"")</f>
        <v/>
      </c>
    </row>
    <row r="32" customFormat="false" ht="15" hidden="false" customHeight="false" outlineLevel="0" collapsed="false">
      <c r="A32" s="0" t="s">
        <v>62</v>
      </c>
      <c r="B32" s="2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P32" s="0" t="n">
        <v>80.3</v>
      </c>
      <c r="Q32" s="3" t="n">
        <f aca="false">IF($C32="Control",$P32,"")</f>
        <v>80.3</v>
      </c>
      <c r="R32" s="0" t="str">
        <f aca="false">IF($C32="Treatment",$P32,"")</f>
        <v/>
      </c>
      <c r="S32" s="0" t="str">
        <f aca="false">IF(AND($C32="Control",$K32=1),$L32,"")</f>
        <v/>
      </c>
      <c r="T32" s="0" t="str">
        <f aca="false">IF(AND($C32="Treatment",$K32=1),$L32,"")</f>
        <v/>
      </c>
    </row>
    <row r="33" customFormat="false" ht="15" hidden="false" customHeight="false" outlineLevel="0" collapsed="false">
      <c r="A33" s="0" t="s">
        <v>63</v>
      </c>
      <c r="B33" s="2" t="n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P33" s="0" t="n">
        <v>67.6</v>
      </c>
      <c r="Q33" s="3" t="n">
        <f aca="false">IF($C33="Control",$P33,"")</f>
        <v>67.6</v>
      </c>
      <c r="R33" s="0" t="str">
        <f aca="false">IF($C33="Treatment",$P33,"")</f>
        <v/>
      </c>
      <c r="S33" s="0" t="str">
        <f aca="false">IF(AND($C33="Control",$K33=1),$L33,"")</f>
        <v/>
      </c>
      <c r="T33" s="0" t="str">
        <f aca="false">IF(AND($C33="Treatment",$K33=1),$L33,"")</f>
        <v/>
      </c>
    </row>
    <row r="34" customFormat="false" ht="15" hidden="false" customHeight="false" outlineLevel="0" collapsed="false">
      <c r="A34" s="0" t="s">
        <v>64</v>
      </c>
      <c r="B34" s="2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P34" s="0" t="n">
        <v>64</v>
      </c>
      <c r="Q34" s="3" t="n">
        <f aca="false">IF($C34="Control",$P34,"")</f>
        <v>64</v>
      </c>
      <c r="R34" s="0" t="str">
        <f aca="false">IF($C34="Treatment",$P34,"")</f>
        <v/>
      </c>
      <c r="S34" s="0" t="str">
        <f aca="false">IF(AND($C34="Control",$K34=1),$L34,"")</f>
        <v/>
      </c>
      <c r="T34" s="0" t="str">
        <f aca="false">IF(AND($C34="Treatment",$K34=1),$L34,"")</f>
        <v/>
      </c>
    </row>
    <row r="35" customFormat="false" ht="15" hidden="false" customHeight="false" outlineLevel="0" collapsed="false">
      <c r="A35" s="0" t="s">
        <v>65</v>
      </c>
      <c r="B35" s="2" t="n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P35" s="0" t="n">
        <v>27.2</v>
      </c>
      <c r="Q35" s="3" t="n">
        <f aca="false">IF($C35="Control",$P35,"")</f>
        <v>27.2</v>
      </c>
      <c r="R35" s="0" t="str">
        <f aca="false">IF($C35="Treatment",$P35,"")</f>
        <v/>
      </c>
      <c r="S35" s="0" t="str">
        <f aca="false">IF(AND($C35="Control",$K35=1),$L35,"")</f>
        <v/>
      </c>
      <c r="T35" s="0" t="str">
        <f aca="false">IF(AND($C35="Treatment",$K35=1),$L35,"")</f>
        <v/>
      </c>
    </row>
    <row r="36" customFormat="false" ht="15" hidden="false" customHeight="false" outlineLevel="0" collapsed="false">
      <c r="A36" s="0" t="s">
        <v>66</v>
      </c>
      <c r="B36" s="2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P36" s="0" t="n">
        <v>85.4</v>
      </c>
      <c r="Q36" s="3" t="n">
        <f aca="false">IF($C36="Control",$P36,"")</f>
        <v>85.4</v>
      </c>
      <c r="R36" s="0" t="str">
        <f aca="false">IF($C36="Treatment",$P36,"")</f>
        <v/>
      </c>
      <c r="S36" s="0" t="str">
        <f aca="false">IF(AND($C36="Control",$K36=1),$L36,"")</f>
        <v/>
      </c>
      <c r="T36" s="0" t="str">
        <f aca="false">IF(AND($C36="Treatment",$K36=1),$L36,"")</f>
        <v/>
      </c>
    </row>
    <row r="37" customFormat="false" ht="15" hidden="false" customHeight="false" outlineLevel="0" collapsed="false">
      <c r="A37" s="0" t="s">
        <v>67</v>
      </c>
      <c r="B37" s="2" t="n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P37" s="0" t="n">
        <v>75.9</v>
      </c>
      <c r="Q37" s="3" t="n">
        <f aca="false">IF($C37="Control",$P37,"")</f>
        <v>75.9</v>
      </c>
      <c r="R37" s="0" t="str">
        <f aca="false">IF($C37="Treatment",$P37,"")</f>
        <v/>
      </c>
      <c r="S37" s="0" t="str">
        <f aca="false">IF(AND($C37="Control",$K37=1),$L37,"")</f>
        <v/>
      </c>
      <c r="T37" s="0" t="str">
        <f aca="false">IF(AND($C37="Treatment",$K37=1),$L37,"")</f>
        <v/>
      </c>
    </row>
    <row r="38" customFormat="false" ht="15" hidden="false" customHeight="false" outlineLevel="0" collapsed="false">
      <c r="A38" s="0" t="s">
        <v>68</v>
      </c>
      <c r="B38" s="2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P38" s="0" t="n">
        <v>34.8</v>
      </c>
      <c r="Q38" s="3" t="n">
        <f aca="false">IF($C38="Control",$P38,"")</f>
        <v>34.8</v>
      </c>
      <c r="R38" s="0" t="str">
        <f aca="false">IF($C38="Treatment",$P38,"")</f>
        <v/>
      </c>
      <c r="S38" s="0" t="str">
        <f aca="false">IF(AND($C38="Control",$K38=1),$L38,"")</f>
        <v/>
      </c>
      <c r="T38" s="0" t="str">
        <f aca="false">IF(AND($C38="Treatment",$K38=1),$L38,"")</f>
        <v/>
      </c>
    </row>
    <row r="39" customFormat="false" ht="15" hidden="false" customHeight="false" outlineLevel="0" collapsed="false">
      <c r="A39" s="0" t="s">
        <v>69</v>
      </c>
      <c r="B39" s="2" t="n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3</v>
      </c>
      <c r="N39" s="0" t="n">
        <v>0</v>
      </c>
      <c r="P39" s="0" t="n">
        <v>48.9</v>
      </c>
      <c r="Q39" s="3" t="n">
        <f aca="false">IF($C39="Control",$P39,"")</f>
        <v>48.9</v>
      </c>
      <c r="R39" s="0" t="str">
        <f aca="false">IF($C39="Treatment",$P39,"")</f>
        <v/>
      </c>
      <c r="S39" s="0" t="str">
        <f aca="false">IF(AND($C39="Control",$K39=1),$L39,"")</f>
        <v/>
      </c>
      <c r="T39" s="0" t="str">
        <f aca="false">IF(AND($C39="Treatment",$K39=1),$L39,"")</f>
        <v/>
      </c>
    </row>
    <row r="40" customFormat="false" ht="15" hidden="false" customHeight="false" outlineLevel="0" collapsed="false">
      <c r="A40" s="0" t="s">
        <v>70</v>
      </c>
      <c r="B40" s="2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P40" s="0" t="n">
        <v>41.5</v>
      </c>
      <c r="Q40" s="3" t="n">
        <f aca="false">IF($C40="Control",$P40,"")</f>
        <v>41.5</v>
      </c>
      <c r="R40" s="0" t="str">
        <f aca="false">IF($C40="Treatment",$P40,"")</f>
        <v/>
      </c>
      <c r="S40" s="0" t="str">
        <f aca="false">IF(AND($C40="Control",$K40=1),$L40,"")</f>
        <v/>
      </c>
      <c r="T40" s="0" t="str">
        <f aca="false">IF(AND($C40="Treatment",$K40=1),$L40,"")</f>
        <v/>
      </c>
    </row>
    <row r="41" customFormat="false" ht="15" hidden="false" customHeight="false" outlineLevel="0" collapsed="false">
      <c r="A41" s="0" t="s">
        <v>71</v>
      </c>
      <c r="B41" s="2" t="n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P41" s="0" t="n">
        <v>51.5</v>
      </c>
      <c r="Q41" s="3" t="n">
        <f aca="false">IF($C41="Control",$P41,"")</f>
        <v>51.5</v>
      </c>
      <c r="R41" s="0" t="str">
        <f aca="false">IF($C41="Treatment",$P41,"")</f>
        <v/>
      </c>
      <c r="S41" s="0" t="str">
        <f aca="false">IF(AND($C41="Control",$K41=1),$L41,"")</f>
        <v/>
      </c>
      <c r="T41" s="0" t="str">
        <f aca="false">IF(AND($C41="Treatment",$K41=1),$L41,"")</f>
        <v/>
      </c>
    </row>
    <row r="42" customFormat="false" ht="15" hidden="false" customHeight="false" outlineLevel="0" collapsed="false">
      <c r="A42" s="0" t="s">
        <v>72</v>
      </c>
      <c r="B42" s="2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P42" s="0" t="n">
        <v>53.2</v>
      </c>
      <c r="Q42" s="3" t="n">
        <f aca="false">IF($C42="Control",$P42,"")</f>
        <v>53.2</v>
      </c>
      <c r="R42" s="0" t="str">
        <f aca="false">IF($C42="Treatment",$P42,"")</f>
        <v/>
      </c>
      <c r="S42" s="0" t="str">
        <f aca="false">IF(AND($C42="Control",$K42=1),$L42,"")</f>
        <v/>
      </c>
      <c r="T42" s="0" t="str">
        <f aca="false">IF(AND($C42="Treatment",$K42=1),$L42,"")</f>
        <v/>
      </c>
    </row>
    <row r="43" customFormat="false" ht="15" hidden="false" customHeight="false" outlineLevel="0" collapsed="false">
      <c r="A43" s="0" t="s">
        <v>73</v>
      </c>
      <c r="B43" s="2" t="n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P43" s="0" t="n">
        <v>55.6</v>
      </c>
      <c r="Q43" s="3" t="n">
        <f aca="false">IF($C43="Control",$P43,"")</f>
        <v>55.6</v>
      </c>
      <c r="R43" s="0" t="str">
        <f aca="false">IF($C43="Treatment",$P43,"")</f>
        <v/>
      </c>
      <c r="S43" s="0" t="str">
        <f aca="false">IF(AND($C43="Control",$K43=1),$L43,"")</f>
        <v/>
      </c>
      <c r="T43" s="0" t="str">
        <f aca="false">IF(AND($C43="Treatment",$K43=1),$L43,"")</f>
        <v/>
      </c>
    </row>
    <row r="44" customFormat="false" ht="15" hidden="false" customHeight="false" outlineLevel="0" collapsed="false">
      <c r="A44" s="0" t="s">
        <v>74</v>
      </c>
      <c r="B44" s="2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P44" s="0" t="n">
        <v>73</v>
      </c>
      <c r="Q44" s="3" t="n">
        <f aca="false">IF($C44="Control",$P44,"")</f>
        <v>73</v>
      </c>
      <c r="R44" s="0" t="str">
        <f aca="false">IF($C44="Treatment",$P44,"")</f>
        <v/>
      </c>
      <c r="S44" s="0" t="str">
        <f aca="false">IF(AND($C44="Control",$K44=1),$L44,"")</f>
        <v/>
      </c>
      <c r="T44" s="0" t="str">
        <f aca="false">IF(AND($C44="Treatment",$K44=1),$L44,"")</f>
        <v/>
      </c>
    </row>
    <row r="45" customFormat="false" ht="15" hidden="false" customHeight="false" outlineLevel="0" collapsed="false">
      <c r="A45" s="0" t="s">
        <v>75</v>
      </c>
      <c r="B45" s="2" t="n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P45" s="0" t="n">
        <v>65</v>
      </c>
      <c r="Q45" s="3" t="n">
        <f aca="false">IF($C45="Control",$P45,"")</f>
        <v>65</v>
      </c>
      <c r="R45" s="0" t="str">
        <f aca="false">IF($C45="Treatment",$P45,"")</f>
        <v/>
      </c>
      <c r="S45" s="0" t="str">
        <f aca="false">IF(AND($C45="Control",$K45=1),$L45,"")</f>
        <v/>
      </c>
      <c r="T45" s="0" t="str">
        <f aca="false">IF(AND($C45="Treatment",$K45=1),$L45,"")</f>
        <v/>
      </c>
    </row>
    <row r="46" customFormat="false" ht="15" hidden="false" customHeight="false" outlineLevel="0" collapsed="false">
      <c r="A46" s="0" t="s">
        <v>76</v>
      </c>
      <c r="B46" s="2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4</v>
      </c>
      <c r="N46" s="0" t="n">
        <v>0</v>
      </c>
      <c r="P46" s="0" t="n">
        <v>56.3</v>
      </c>
      <c r="Q46" s="3" t="n">
        <f aca="false">IF($C46="Control",$P46,"")</f>
        <v>56.3</v>
      </c>
      <c r="R46" s="0" t="str">
        <f aca="false">IF($C46="Treatment",$P46,"")</f>
        <v/>
      </c>
      <c r="S46" s="0" t="str">
        <f aca="false">IF(AND($C46="Control",$K46=1),$L46,"")</f>
        <v/>
      </c>
      <c r="T46" s="0" t="str">
        <f aca="false">IF(AND($C46="Treatment",$K46=1),$L46,"")</f>
        <v/>
      </c>
    </row>
    <row r="47" customFormat="false" ht="15" hidden="false" customHeight="false" outlineLevel="0" collapsed="false">
      <c r="A47" s="0" t="s">
        <v>77</v>
      </c>
      <c r="B47" s="2" t="n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P47" s="0" t="n">
        <v>62.4</v>
      </c>
      <c r="Q47" s="3" t="n">
        <f aca="false">IF($C47="Control",$P47,"")</f>
        <v>62.4</v>
      </c>
      <c r="R47" s="0" t="str">
        <f aca="false">IF($C47="Treatment",$P47,"")</f>
        <v/>
      </c>
      <c r="S47" s="0" t="str">
        <f aca="false">IF(AND($C47="Control",$K47=1),$L47,"")</f>
        <v/>
      </c>
      <c r="T47" s="0" t="str">
        <f aca="false">IF(AND($C47="Treatment",$K47=1),$L47,"")</f>
        <v/>
      </c>
    </row>
    <row r="48" customFormat="false" ht="15" hidden="false" customHeight="false" outlineLevel="0" collapsed="false">
      <c r="A48" s="0" t="s">
        <v>78</v>
      </c>
      <c r="B48" s="2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P48" s="0" t="n">
        <v>58.1</v>
      </c>
      <c r="Q48" s="3" t="n">
        <f aca="false">IF($C48="Control",$P48,"")</f>
        <v>58.1</v>
      </c>
      <c r="R48" s="0" t="str">
        <f aca="false">IF($C48="Treatment",$P48,"")</f>
        <v/>
      </c>
      <c r="S48" s="0" t="str">
        <f aca="false">IF(AND($C48="Control",$K48=1),$L48,"")</f>
        <v/>
      </c>
      <c r="T48" s="0" t="str">
        <f aca="false">IF(AND($C48="Treatment",$K48=1),$L48,"")</f>
        <v/>
      </c>
    </row>
    <row r="49" customFormat="false" ht="15" hidden="false" customHeight="false" outlineLevel="0" collapsed="false">
      <c r="A49" s="0" t="s">
        <v>79</v>
      </c>
      <c r="B49" s="2" t="n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P49" s="0" t="n">
        <v>80.8</v>
      </c>
      <c r="Q49" s="3" t="n">
        <f aca="false">IF($C49="Control",$P49,"")</f>
        <v>80.8</v>
      </c>
      <c r="R49" s="0" t="str">
        <f aca="false">IF($C49="Treatment",$P49,"")</f>
        <v/>
      </c>
      <c r="S49" s="0" t="str">
        <f aca="false">IF(AND($C49="Control",$K49=1),$L49,"")</f>
        <v/>
      </c>
      <c r="T49" s="0" t="str">
        <f aca="false">IF(AND($C49="Treatment",$K49=1),$L49,"")</f>
        <v/>
      </c>
    </row>
    <row r="50" customFormat="false" ht="15" hidden="false" customHeight="false" outlineLevel="0" collapsed="false">
      <c r="A50" s="0" t="s">
        <v>80</v>
      </c>
      <c r="B50" s="2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P50" s="0" t="n">
        <v>42.9</v>
      </c>
      <c r="Q50" s="3" t="n">
        <f aca="false">IF($C50="Control",$P50,"")</f>
        <v>42.9</v>
      </c>
      <c r="R50" s="0" t="str">
        <f aca="false">IF($C50="Treatment",$P50,"")</f>
        <v/>
      </c>
      <c r="S50" s="0" t="str">
        <f aca="false">IF(AND($C50="Control",$K50=1),$L50,"")</f>
        <v/>
      </c>
      <c r="T50" s="0" t="str">
        <f aca="false">IF(AND($C50="Treatment",$K50=1),$L50,"")</f>
        <v/>
      </c>
    </row>
    <row r="51" customFormat="false" ht="15" hidden="false" customHeight="false" outlineLevel="0" collapsed="false">
      <c r="A51" s="0" t="s">
        <v>81</v>
      </c>
      <c r="B51" s="2" t="n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P51" s="0" t="n">
        <v>52.7</v>
      </c>
      <c r="Q51" s="3" t="n">
        <f aca="false">IF($C51="Control",$P51,"")</f>
        <v>52.7</v>
      </c>
      <c r="R51" s="0" t="str">
        <f aca="false">IF($C51="Treatment",$P51,"")</f>
        <v/>
      </c>
      <c r="S51" s="0" t="str">
        <f aca="false">IF(AND($C51="Control",$K51=1),$L51,"")</f>
        <v/>
      </c>
      <c r="T51" s="0" t="str">
        <f aca="false">IF(AND($C51="Treatment",$K51=1),$L51,"")</f>
        <v/>
      </c>
    </row>
    <row r="52" customFormat="false" ht="15" hidden="false" customHeight="false" outlineLevel="0" collapsed="false">
      <c r="A52" s="0" t="s">
        <v>82</v>
      </c>
      <c r="B52" s="2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P52" s="0" t="n">
        <v>46.9</v>
      </c>
      <c r="Q52" s="3" t="n">
        <f aca="false">IF($C52="Control",$P52,"")</f>
        <v>46.9</v>
      </c>
      <c r="R52" s="0" t="str">
        <f aca="false">IF($C52="Treatment",$P52,"")</f>
        <v/>
      </c>
      <c r="S52" s="0" t="str">
        <f aca="false">IF(AND($C52="Control",$K52=1),$L52,"")</f>
        <v/>
      </c>
      <c r="T52" s="0" t="str">
        <f aca="false">IF(AND($C52="Treatment",$K52=1),$L52,"")</f>
        <v/>
      </c>
    </row>
    <row r="53" customFormat="false" ht="15" hidden="false" customHeight="false" outlineLevel="0" collapsed="false">
      <c r="A53" s="0" t="s">
        <v>83</v>
      </c>
      <c r="B53" s="2" t="n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P53" s="0" t="n">
        <v>63</v>
      </c>
      <c r="Q53" s="3" t="n">
        <f aca="false">IF($C53="Control",$P53,"")</f>
        <v>63</v>
      </c>
      <c r="R53" s="0" t="str">
        <f aca="false">IF($C53="Treatment",$P53,"")</f>
        <v/>
      </c>
      <c r="S53" s="0" t="str">
        <f aca="false">IF(AND($C53="Control",$K53=1),$L53,"")</f>
        <v/>
      </c>
      <c r="T53" s="0" t="str">
        <f aca="false">IF(AND($C53="Treatment",$K53=1),$L53,"")</f>
        <v/>
      </c>
    </row>
    <row r="54" customFormat="false" ht="15" hidden="false" customHeight="false" outlineLevel="0" collapsed="false">
      <c r="A54" s="0" t="s">
        <v>84</v>
      </c>
      <c r="B54" s="2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P54" s="0" t="n">
        <v>53.6</v>
      </c>
      <c r="Q54" s="3" t="n">
        <f aca="false">IF($C54="Control",$P54,"")</f>
        <v>53.6</v>
      </c>
      <c r="R54" s="0" t="str">
        <f aca="false">IF($C54="Treatment",$P54,"")</f>
        <v/>
      </c>
      <c r="S54" s="0" t="str">
        <f aca="false">IF(AND($C54="Control",$K54=1),$L54,"")</f>
        <v/>
      </c>
      <c r="T54" s="0" t="str">
        <f aca="false">IF(AND($C54="Treatment",$K54=1),$L54,"")</f>
        <v/>
      </c>
    </row>
    <row r="55" customFormat="false" ht="15" hidden="false" customHeight="false" outlineLevel="0" collapsed="false">
      <c r="A55" s="0" t="s">
        <v>85</v>
      </c>
      <c r="B55" s="2" t="n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P55" s="0" t="n">
        <v>49.6</v>
      </c>
      <c r="Q55" s="3" t="n">
        <f aca="false">IF($C55="Control",$P55,"")</f>
        <v>49.6</v>
      </c>
      <c r="R55" s="0" t="str">
        <f aca="false">IF($C55="Treatment",$P55,"")</f>
        <v/>
      </c>
      <c r="S55" s="0" t="str">
        <f aca="false">IF(AND($C55="Control",$K55=1),$L55,"")</f>
        <v/>
      </c>
      <c r="T55" s="0" t="str">
        <f aca="false">IF(AND($C55="Treatment",$K55=1),$L55,"")</f>
        <v/>
      </c>
    </row>
    <row r="56" customFormat="false" ht="15" hidden="false" customHeight="false" outlineLevel="0" collapsed="false">
      <c r="A56" s="0" t="s">
        <v>86</v>
      </c>
      <c r="B56" s="2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P56" s="0" t="n">
        <v>54</v>
      </c>
      <c r="Q56" s="3" t="n">
        <f aca="false">IF($C56="Control",$P56,"")</f>
        <v>54</v>
      </c>
      <c r="R56" s="0" t="str">
        <f aca="false">IF($C56="Treatment",$P56,"")</f>
        <v/>
      </c>
      <c r="S56" s="0" t="str">
        <f aca="false">IF(AND($C56="Control",$K56=1),$L56,"")</f>
        <v/>
      </c>
      <c r="T56" s="0" t="str">
        <f aca="false">IF(AND($C56="Treatment",$K56=1),$L56,"")</f>
        <v/>
      </c>
    </row>
    <row r="57" customFormat="false" ht="15" hidden="false" customHeight="false" outlineLevel="0" collapsed="false">
      <c r="A57" s="0" t="s">
        <v>87</v>
      </c>
      <c r="B57" s="2" t="n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0</v>
      </c>
      <c r="P57" s="0" t="n">
        <v>50</v>
      </c>
      <c r="Q57" s="3" t="n">
        <f aca="false">IF($C57="Control",$P57,"")</f>
        <v>50</v>
      </c>
      <c r="R57" s="0" t="str">
        <f aca="false">IF($C57="Treatment",$P57,"")</f>
        <v/>
      </c>
      <c r="S57" s="0" t="str">
        <f aca="false">IF(AND($C57="Control",$K57=1),$L57,"")</f>
        <v/>
      </c>
      <c r="T57" s="0" t="str">
        <f aca="false">IF(AND($C57="Treatment",$K57=1),$L57,"")</f>
        <v/>
      </c>
    </row>
    <row r="58" customFormat="false" ht="15" hidden="false" customHeight="false" outlineLevel="0" collapsed="false">
      <c r="A58" s="0" t="s">
        <v>88</v>
      </c>
      <c r="B58" s="2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P58" s="0" t="n">
        <v>48.1</v>
      </c>
      <c r="Q58" s="3" t="n">
        <f aca="false">IF($C58="Control",$P58,"")</f>
        <v>48.1</v>
      </c>
      <c r="R58" s="0" t="str">
        <f aca="false">IF($C58="Treatment",$P58,"")</f>
        <v/>
      </c>
      <c r="S58" s="0" t="str">
        <f aca="false">IF(AND($C58="Control",$K58=1),$L58,"")</f>
        <v/>
      </c>
      <c r="T58" s="0" t="str">
        <f aca="false">IF(AND($C58="Treatment",$K58=1),$L58,"")</f>
        <v/>
      </c>
    </row>
    <row r="59" customFormat="false" ht="15" hidden="false" customHeight="false" outlineLevel="0" collapsed="false">
      <c r="A59" s="0" t="s">
        <v>89</v>
      </c>
      <c r="B59" s="2" t="n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P59" s="0" t="n">
        <v>49.6</v>
      </c>
      <c r="Q59" s="3" t="n">
        <f aca="false">IF($C59="Control",$P59,"")</f>
        <v>49.6</v>
      </c>
      <c r="R59" s="0" t="str">
        <f aca="false">IF($C59="Treatment",$P59,"")</f>
        <v/>
      </c>
      <c r="S59" s="0" t="str">
        <f aca="false">IF(AND($C59="Control",$K59=1),$L59,"")</f>
        <v/>
      </c>
      <c r="T59" s="0" t="str">
        <f aca="false">IF(AND($C59="Treatment",$K59=1),$L59,"")</f>
        <v/>
      </c>
    </row>
    <row r="60" customFormat="false" ht="15" hidden="false" customHeight="false" outlineLevel="0" collapsed="false">
      <c r="A60" s="0" t="s">
        <v>90</v>
      </c>
      <c r="B60" s="2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P60" s="0" t="n">
        <v>48.9</v>
      </c>
      <c r="Q60" s="3" t="n">
        <f aca="false">IF($C60="Control",$P60,"")</f>
        <v>48.9</v>
      </c>
      <c r="R60" s="0" t="str">
        <f aca="false">IF($C60="Treatment",$P60,"")</f>
        <v/>
      </c>
      <c r="S60" s="0" t="str">
        <f aca="false">IF(AND($C60="Control",$K60=1),$L60,"")</f>
        <v/>
      </c>
      <c r="T60" s="0" t="str">
        <f aca="false">IF(AND($C60="Treatment",$K60=1),$L60,"")</f>
        <v/>
      </c>
    </row>
    <row r="61" customFormat="false" ht="15" hidden="false" customHeight="false" outlineLevel="0" collapsed="false">
      <c r="A61" s="0" t="s">
        <v>91</v>
      </c>
      <c r="B61" s="2" t="n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240.42</v>
      </c>
      <c r="M61" s="0" t="n">
        <v>0</v>
      </c>
      <c r="N61" s="0" t="n">
        <v>0</v>
      </c>
      <c r="O61" s="0" t="n">
        <v>16</v>
      </c>
      <c r="P61" s="0" t="n">
        <v>56.5</v>
      </c>
      <c r="Q61" s="3" t="n">
        <f aca="false">IF($C61="Control",$P61,"")</f>
        <v>56.5</v>
      </c>
      <c r="R61" s="0" t="str">
        <f aca="false">IF($C61="Treatment",$P61,"")</f>
        <v/>
      </c>
      <c r="S61" s="3" t="n">
        <f aca="false">IF(AND($C61="Control",$K61=1),$L61,"")</f>
        <v>240.42</v>
      </c>
      <c r="T61" s="0" t="str">
        <f aca="false">IF(AND($C61="Treatment",$K61=1),$L61,"")</f>
        <v/>
      </c>
    </row>
    <row r="62" customFormat="false" ht="15" hidden="false" customHeight="false" outlineLevel="0" collapsed="false">
      <c r="A62" s="0" t="s">
        <v>92</v>
      </c>
      <c r="B62" s="2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P62" s="0" t="n">
        <v>53.7</v>
      </c>
      <c r="Q62" s="3" t="n">
        <f aca="false">IF($C62="Control",$P62,"")</f>
        <v>53.7</v>
      </c>
      <c r="R62" s="0" t="str">
        <f aca="false">IF($C62="Treatment",$P62,"")</f>
        <v/>
      </c>
      <c r="S62" s="0" t="str">
        <f aca="false">IF(AND($C62="Control",$K62=1),$L62,"")</f>
        <v/>
      </c>
      <c r="T62" s="0" t="str">
        <f aca="false">IF(AND($C62="Treatment",$K62=1),$L62,"")</f>
        <v/>
      </c>
    </row>
    <row r="63" customFormat="false" ht="15" hidden="false" customHeight="false" outlineLevel="0" collapsed="false">
      <c r="A63" s="0" t="s">
        <v>93</v>
      </c>
      <c r="B63" s="2" t="n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P63" s="0" t="n">
        <v>62.2</v>
      </c>
      <c r="Q63" s="3" t="n">
        <f aca="false">IF($C63="Control",$P63,"")</f>
        <v>62.2</v>
      </c>
      <c r="R63" s="0" t="str">
        <f aca="false">IF($C63="Treatment",$P63,"")</f>
        <v/>
      </c>
      <c r="S63" s="0" t="str">
        <f aca="false">IF(AND($C63="Control",$K63=1),$L63,"")</f>
        <v/>
      </c>
      <c r="T63" s="0" t="str">
        <f aca="false">IF(AND($C63="Treatment",$K63=1),$L63,"")</f>
        <v/>
      </c>
    </row>
    <row r="64" customFormat="false" ht="15" hidden="false" customHeight="false" outlineLevel="0" collapsed="false">
      <c r="A64" s="0" t="s">
        <v>94</v>
      </c>
      <c r="B64" s="2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P64" s="0" t="n">
        <v>50.2</v>
      </c>
      <c r="Q64" s="3" t="n">
        <f aca="false">IF($C64="Control",$P64,"")</f>
        <v>50.2</v>
      </c>
      <c r="R64" s="0" t="str">
        <f aca="false">IF($C64="Treatment",$P64,"")</f>
        <v/>
      </c>
      <c r="S64" s="0" t="str">
        <f aca="false">IF(AND($C64="Control",$K64=1),$L64,"")</f>
        <v/>
      </c>
      <c r="T64" s="0" t="str">
        <f aca="false">IF(AND($C64="Treatment",$K64=1),$L64,"")</f>
        <v/>
      </c>
    </row>
    <row r="65" customFormat="false" ht="15" hidden="false" customHeight="false" outlineLevel="0" collapsed="false">
      <c r="A65" s="0" t="s">
        <v>95</v>
      </c>
      <c r="B65" s="2" t="n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P65" s="0" t="n">
        <v>74.3</v>
      </c>
      <c r="Q65" s="3" t="n">
        <f aca="false">IF($C65="Control",$P65,"")</f>
        <v>74.3</v>
      </c>
      <c r="R65" s="0" t="str">
        <f aca="false">IF($C65="Treatment",$P65,"")</f>
        <v/>
      </c>
      <c r="S65" s="0" t="str">
        <f aca="false">IF(AND($C65="Control",$K65=1),$L65,"")</f>
        <v/>
      </c>
      <c r="T65" s="0" t="str">
        <f aca="false">IF(AND($C65="Treatment",$K65=1),$L65,"")</f>
        <v/>
      </c>
    </row>
    <row r="66" customFormat="false" ht="15" hidden="false" customHeight="false" outlineLevel="0" collapsed="false">
      <c r="A66" s="0" t="s">
        <v>96</v>
      </c>
      <c r="B66" s="2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P66" s="0" t="n">
        <v>58</v>
      </c>
      <c r="Q66" s="3" t="n">
        <f aca="false">IF($C66="Control",$P66,"")</f>
        <v>58</v>
      </c>
      <c r="R66" s="0" t="str">
        <f aca="false">IF($C66="Treatment",$P66,"")</f>
        <v/>
      </c>
      <c r="S66" s="0" t="str">
        <f aca="false">IF(AND($C66="Control",$K66=1),$L66,"")</f>
        <v/>
      </c>
      <c r="T66" s="0" t="str">
        <f aca="false">IF(AND($C66="Treatment",$K66=1),$L66,"")</f>
        <v/>
      </c>
    </row>
    <row r="67" customFormat="false" ht="15" hidden="false" customHeight="false" outlineLevel="0" collapsed="false">
      <c r="A67" s="0" t="s">
        <v>97</v>
      </c>
      <c r="B67" s="2" t="n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P67" s="0" t="n">
        <v>46.7</v>
      </c>
      <c r="Q67" s="3" t="n">
        <f aca="false">IF($C67="Control",$P67,"")</f>
        <v>46.7</v>
      </c>
      <c r="R67" s="0" t="str">
        <f aca="false">IF($C67="Treatment",$P67,"")</f>
        <v/>
      </c>
      <c r="S67" s="0" t="str">
        <f aca="false">IF(AND($C67="Control",$K67=1),$L67,"")</f>
        <v/>
      </c>
      <c r="T67" s="0" t="str">
        <f aca="false">IF(AND($C67="Treatment",$K67=1),$L67,"")</f>
        <v/>
      </c>
    </row>
    <row r="68" customFormat="false" ht="15" hidden="false" customHeight="false" outlineLevel="0" collapsed="false">
      <c r="A68" s="0" t="s">
        <v>98</v>
      </c>
      <c r="B68" s="2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P68" s="0" t="n">
        <v>49.6</v>
      </c>
      <c r="Q68" s="3" t="n">
        <f aca="false">IF($C68="Control",$P68,"")</f>
        <v>49.6</v>
      </c>
      <c r="R68" s="0" t="str">
        <f aca="false">IF($C68="Treatment",$P68,"")</f>
        <v/>
      </c>
      <c r="S68" s="0" t="str">
        <f aca="false">IF(AND($C68="Control",$K68=1),$L68,"")</f>
        <v/>
      </c>
      <c r="T68" s="0" t="str">
        <f aca="false">IF(AND($C68="Treatment",$K68=1),$L68,"")</f>
        <v/>
      </c>
    </row>
    <row r="69" customFormat="false" ht="15" hidden="false" customHeight="false" outlineLevel="0" collapsed="false">
      <c r="A69" s="0" t="s">
        <v>99</v>
      </c>
      <c r="B69" s="2" t="n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P69" s="0" t="n">
        <v>60.4</v>
      </c>
      <c r="Q69" s="3" t="n">
        <f aca="false">IF($C69="Control",$P69,"")</f>
        <v>60.4</v>
      </c>
      <c r="R69" s="0" t="str">
        <f aca="false">IF($C69="Treatment",$P69,"")</f>
        <v/>
      </c>
      <c r="S69" s="0" t="str">
        <f aca="false">IF(AND($C69="Control",$K69=1),$L69,"")</f>
        <v/>
      </c>
      <c r="T69" s="0" t="str">
        <f aca="false">IF(AND($C69="Treatment",$K69=1),$L69,"")</f>
        <v/>
      </c>
    </row>
    <row r="70" customFormat="false" ht="15" hidden="false" customHeight="false" outlineLevel="0" collapsed="false">
      <c r="A70" s="0" t="s">
        <v>100</v>
      </c>
      <c r="B70" s="2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P70" s="0" t="n">
        <v>55.3</v>
      </c>
      <c r="Q70" s="3" t="n">
        <f aca="false">IF($C70="Control",$P70,"")</f>
        <v>55.3</v>
      </c>
      <c r="R70" s="0" t="str">
        <f aca="false">IF($C70="Treatment",$P70,"")</f>
        <v/>
      </c>
      <c r="S70" s="0" t="str">
        <f aca="false">IF(AND($C70="Control",$K70=1),$L70,"")</f>
        <v/>
      </c>
      <c r="T70" s="0" t="str">
        <f aca="false">IF(AND($C70="Treatment",$K70=1),$L70,"")</f>
        <v/>
      </c>
    </row>
    <row r="71" customFormat="false" ht="15" hidden="false" customHeight="false" outlineLevel="0" collapsed="false">
      <c r="A71" s="0" t="s">
        <v>101</v>
      </c>
      <c r="B71" s="2" t="n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P71" s="0" t="n">
        <v>56.2</v>
      </c>
      <c r="Q71" s="3" t="n">
        <f aca="false">IF($C71="Control",$P71,"")</f>
        <v>56.2</v>
      </c>
      <c r="R71" s="0" t="str">
        <f aca="false">IF($C71="Treatment",$P71,"")</f>
        <v/>
      </c>
      <c r="S71" s="0" t="str">
        <f aca="false">IF(AND($C71="Control",$K71=1),$L71,"")</f>
        <v/>
      </c>
      <c r="T71" s="0" t="str">
        <f aca="false">IF(AND($C71="Treatment",$K71=1),$L71,"")</f>
        <v/>
      </c>
    </row>
    <row r="72" customFormat="false" ht="15" hidden="false" customHeight="false" outlineLevel="0" collapsed="false">
      <c r="A72" s="0" t="s">
        <v>102</v>
      </c>
      <c r="B72" s="2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P72" s="0" t="n">
        <v>29.4</v>
      </c>
      <c r="Q72" s="3" t="n">
        <f aca="false">IF($C72="Control",$P72,"")</f>
        <v>29.4</v>
      </c>
      <c r="R72" s="0" t="str">
        <f aca="false">IF($C72="Treatment",$P72,"")</f>
        <v/>
      </c>
      <c r="S72" s="0" t="str">
        <f aca="false">IF(AND($C72="Control",$K72=1),$L72,"")</f>
        <v/>
      </c>
      <c r="T72" s="0" t="str">
        <f aca="false">IF(AND($C72="Treatment",$K72=1),$L72,"")</f>
        <v/>
      </c>
    </row>
    <row r="73" customFormat="false" ht="15" hidden="false" customHeight="false" outlineLevel="0" collapsed="false">
      <c r="A73" s="0" t="s">
        <v>103</v>
      </c>
      <c r="B73" s="2" t="n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P73" s="0" t="n">
        <v>54.2</v>
      </c>
      <c r="Q73" s="3" t="n">
        <f aca="false">IF($C73="Control",$P73,"")</f>
        <v>54.2</v>
      </c>
      <c r="R73" s="0" t="str">
        <f aca="false">IF($C73="Treatment",$P73,"")</f>
        <v/>
      </c>
      <c r="S73" s="0" t="str">
        <f aca="false">IF(AND($C73="Control",$K73=1),$L73,"")</f>
        <v/>
      </c>
      <c r="T73" s="0" t="str">
        <f aca="false">IF(AND($C73="Treatment",$K73=1),$L73,"")</f>
        <v/>
      </c>
    </row>
    <row r="74" customFormat="false" ht="15" hidden="false" customHeight="false" outlineLevel="0" collapsed="false">
      <c r="A74" s="0" t="s">
        <v>104</v>
      </c>
      <c r="B74" s="2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P74" s="0" t="n">
        <v>46.4</v>
      </c>
      <c r="Q74" s="3" t="n">
        <f aca="false">IF($C74="Control",$P74,"")</f>
        <v>46.4</v>
      </c>
      <c r="R74" s="0" t="str">
        <f aca="false">IF($C74="Treatment",$P74,"")</f>
        <v/>
      </c>
      <c r="S74" s="0" t="str">
        <f aca="false">IF(AND($C74="Control",$K74=1),$L74,"")</f>
        <v/>
      </c>
      <c r="T74" s="0" t="str">
        <f aca="false">IF(AND($C74="Treatment",$K74=1),$L74,"")</f>
        <v/>
      </c>
    </row>
    <row r="75" customFormat="false" ht="15" hidden="false" customHeight="false" outlineLevel="0" collapsed="false">
      <c r="A75" s="0" t="s">
        <v>105</v>
      </c>
      <c r="B75" s="2" t="n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P75" s="0" t="n">
        <v>54.5</v>
      </c>
      <c r="Q75" s="3" t="n">
        <f aca="false">IF($C75="Control",$P75,"")</f>
        <v>54.5</v>
      </c>
      <c r="R75" s="0" t="str">
        <f aca="false">IF($C75="Treatment",$P75,"")</f>
        <v/>
      </c>
      <c r="S75" s="0" t="str">
        <f aca="false">IF(AND($C75="Control",$K75=1),$L75,"")</f>
        <v/>
      </c>
      <c r="T75" s="0" t="str">
        <f aca="false">IF(AND($C75="Treatment",$K75=1),$L75,"")</f>
        <v/>
      </c>
    </row>
    <row r="76" customFormat="false" ht="15" hidden="false" customHeight="false" outlineLevel="0" collapsed="false">
      <c r="A76" s="0" t="s">
        <v>106</v>
      </c>
      <c r="B76" s="2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P76" s="0" t="n">
        <v>58.5</v>
      </c>
      <c r="Q76" s="3" t="n">
        <f aca="false">IF($C76="Control",$P76,"")</f>
        <v>58.5</v>
      </c>
      <c r="R76" s="0" t="str">
        <f aca="false">IF($C76="Treatment",$P76,"")</f>
        <v/>
      </c>
      <c r="S76" s="0" t="str">
        <f aca="false">IF(AND($C76="Control",$K76=1),$L76,"")</f>
        <v/>
      </c>
      <c r="T76" s="0" t="str">
        <f aca="false">IF(AND($C76="Treatment",$K76=1),$L76,"")</f>
        <v/>
      </c>
    </row>
    <row r="77" customFormat="false" ht="15" hidden="false" customHeight="false" outlineLevel="0" collapsed="false">
      <c r="A77" s="0" t="s">
        <v>107</v>
      </c>
      <c r="B77" s="2" t="n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P77" s="0" t="n">
        <v>75.9</v>
      </c>
      <c r="Q77" s="3" t="n">
        <f aca="false">IF($C77="Control",$P77,"")</f>
        <v>75.9</v>
      </c>
      <c r="R77" s="0" t="str">
        <f aca="false">IF($C77="Treatment",$P77,"")</f>
        <v/>
      </c>
      <c r="S77" s="0" t="str">
        <f aca="false">IF(AND($C77="Control",$K77=1),$L77,"")</f>
        <v/>
      </c>
      <c r="T77" s="0" t="str">
        <f aca="false">IF(AND($C77="Treatment",$K77=1),$L77,"")</f>
        <v/>
      </c>
    </row>
    <row r="78" customFormat="false" ht="15" hidden="false" customHeight="false" outlineLevel="0" collapsed="false">
      <c r="A78" s="0" t="s">
        <v>108</v>
      </c>
      <c r="B78" s="2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P78" s="0" t="n">
        <v>84.9</v>
      </c>
      <c r="Q78" s="3" t="n">
        <f aca="false">IF($C78="Control",$P78,"")</f>
        <v>84.9</v>
      </c>
      <c r="R78" s="0" t="str">
        <f aca="false">IF($C78="Treatment",$P78,"")</f>
        <v/>
      </c>
      <c r="S78" s="0" t="str">
        <f aca="false">IF(AND($C78="Control",$K78=1),$L78,"")</f>
        <v/>
      </c>
      <c r="T78" s="0" t="str">
        <f aca="false">IF(AND($C78="Treatment",$K78=1),$L78,"")</f>
        <v/>
      </c>
    </row>
    <row r="79" customFormat="false" ht="15" hidden="false" customHeight="false" outlineLevel="0" collapsed="false">
      <c r="A79" s="0" t="s">
        <v>109</v>
      </c>
      <c r="B79" s="2" t="n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0</v>
      </c>
      <c r="P79" s="0" t="n">
        <v>48.4</v>
      </c>
      <c r="Q79" s="3" t="n">
        <f aca="false">IF($C79="Control",$P79,"")</f>
        <v>48.4</v>
      </c>
      <c r="R79" s="0" t="str">
        <f aca="false">IF($C79="Treatment",$P79,"")</f>
        <v/>
      </c>
      <c r="S79" s="0" t="str">
        <f aca="false">IF(AND($C79="Control",$K79=1),$L79,"")</f>
        <v/>
      </c>
      <c r="T79" s="0" t="str">
        <f aca="false">IF(AND($C79="Treatment",$K79=1),$L79,"")</f>
        <v/>
      </c>
    </row>
    <row r="80" customFormat="false" ht="15" hidden="false" customHeight="false" outlineLevel="0" collapsed="false">
      <c r="A80" s="0" t="s">
        <v>110</v>
      </c>
      <c r="B80" s="2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457.51</v>
      </c>
      <c r="M80" s="0" t="n">
        <v>0</v>
      </c>
      <c r="N80" s="0" t="n">
        <v>0</v>
      </c>
      <c r="O80" s="0" t="n">
        <v>7</v>
      </c>
      <c r="P80" s="0" t="n">
        <v>38</v>
      </c>
      <c r="Q80" s="3" t="n">
        <f aca="false">IF($C80="Control",$P80,"")</f>
        <v>38</v>
      </c>
      <c r="R80" s="0" t="str">
        <f aca="false">IF($C80="Treatment",$P80,"")</f>
        <v/>
      </c>
      <c r="S80" s="3" t="n">
        <f aca="false">IF(AND($C80="Control",$K80=1),$L80,"")</f>
        <v>457.51</v>
      </c>
      <c r="T80" s="0" t="str">
        <f aca="false">IF(AND($C80="Treatment",$K80=1),$L80,"")</f>
        <v/>
      </c>
    </row>
    <row r="81" customFormat="false" ht="15" hidden="false" customHeight="false" outlineLevel="0" collapsed="false">
      <c r="A81" s="0" t="s">
        <v>111</v>
      </c>
      <c r="B81" s="2" t="n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P81" s="0" t="n">
        <v>44.2</v>
      </c>
      <c r="Q81" s="3" t="n">
        <f aca="false">IF($C81="Control",$P81,"")</f>
        <v>44.2</v>
      </c>
      <c r="R81" s="0" t="str">
        <f aca="false">IF($C81="Treatment",$P81,"")</f>
        <v/>
      </c>
      <c r="S81" s="0" t="str">
        <f aca="false">IF(AND($C81="Control",$K81=1),$L81,"")</f>
        <v/>
      </c>
      <c r="T81" s="0" t="str">
        <f aca="false">IF(AND($C81="Treatment",$K81=1),$L81,"")</f>
        <v/>
      </c>
    </row>
    <row r="82" customFormat="false" ht="15" hidden="false" customHeight="false" outlineLevel="0" collapsed="false">
      <c r="A82" s="0" t="s">
        <v>112</v>
      </c>
      <c r="B82" s="2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P82" s="0" t="n">
        <v>81.2</v>
      </c>
      <c r="Q82" s="3" t="n">
        <f aca="false">IF($C82="Control",$P82,"")</f>
        <v>81.2</v>
      </c>
      <c r="R82" s="0" t="str">
        <f aca="false">IF($C82="Treatment",$P82,"")</f>
        <v/>
      </c>
      <c r="S82" s="0" t="str">
        <f aca="false">IF(AND($C82="Control",$K82=1),$L82,"")</f>
        <v/>
      </c>
      <c r="T82" s="0" t="str">
        <f aca="false">IF(AND($C82="Treatment",$K82=1),$L82,"")</f>
        <v/>
      </c>
    </row>
    <row r="83" customFormat="false" ht="15" hidden="false" customHeight="false" outlineLevel="0" collapsed="false">
      <c r="A83" s="0" t="s">
        <v>113</v>
      </c>
      <c r="B83" s="2" t="n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P83" s="0" t="n">
        <v>63.8</v>
      </c>
      <c r="Q83" s="3" t="n">
        <f aca="false">IF($C83="Control",$P83,"")</f>
        <v>63.8</v>
      </c>
      <c r="R83" s="0" t="str">
        <f aca="false">IF($C83="Treatment",$P83,"")</f>
        <v/>
      </c>
      <c r="S83" s="0" t="str">
        <f aca="false">IF(AND($C83="Control",$K83=1),$L83,"")</f>
        <v/>
      </c>
      <c r="T83" s="0" t="str">
        <f aca="false">IF(AND($C83="Treatment",$K83=1),$L83,"")</f>
        <v/>
      </c>
    </row>
    <row r="84" customFormat="false" ht="15" hidden="false" customHeight="false" outlineLevel="0" collapsed="false">
      <c r="A84" s="0" t="s">
        <v>114</v>
      </c>
      <c r="B84" s="2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P84" s="0" t="n">
        <v>64.7</v>
      </c>
      <c r="Q84" s="3" t="n">
        <f aca="false">IF($C84="Control",$P84,"")</f>
        <v>64.7</v>
      </c>
      <c r="R84" s="0" t="str">
        <f aca="false">IF($C84="Treatment",$P84,"")</f>
        <v/>
      </c>
      <c r="S84" s="0" t="str">
        <f aca="false">IF(AND($C84="Control",$K84=1),$L84,"")</f>
        <v/>
      </c>
      <c r="T84" s="0" t="str">
        <f aca="false">IF(AND($C84="Treatment",$K84=1),$L84,"")</f>
        <v/>
      </c>
    </row>
    <row r="85" customFormat="false" ht="15" hidden="false" customHeight="false" outlineLevel="0" collapsed="false">
      <c r="A85" s="0" t="s">
        <v>115</v>
      </c>
      <c r="B85" s="2" t="n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P85" s="0" t="n">
        <v>60.4</v>
      </c>
      <c r="Q85" s="3" t="n">
        <f aca="false">IF($C85="Control",$P85,"")</f>
        <v>60.4</v>
      </c>
      <c r="R85" s="0" t="str">
        <f aca="false">IF($C85="Treatment",$P85,"")</f>
        <v/>
      </c>
      <c r="S85" s="0" t="str">
        <f aca="false">IF(AND($C85="Control",$K85=1),$L85,"")</f>
        <v/>
      </c>
      <c r="T85" s="0" t="str">
        <f aca="false">IF(AND($C85="Treatment",$K85=1),$L85,"")</f>
        <v/>
      </c>
    </row>
    <row r="86" customFormat="false" ht="15" hidden="false" customHeight="false" outlineLevel="0" collapsed="false">
      <c r="A86" s="0" t="s">
        <v>116</v>
      </c>
      <c r="B86" s="2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P86" s="0" t="n">
        <v>66.6</v>
      </c>
      <c r="Q86" s="3" t="n">
        <f aca="false">IF($C86="Control",$P86,"")</f>
        <v>66.6</v>
      </c>
      <c r="R86" s="0" t="str">
        <f aca="false">IF($C86="Treatment",$P86,"")</f>
        <v/>
      </c>
      <c r="S86" s="0" t="str">
        <f aca="false">IF(AND($C86="Control",$K86=1),$L86,"")</f>
        <v/>
      </c>
      <c r="T86" s="0" t="str">
        <f aca="false">IF(AND($C86="Treatment",$K86=1),$L86,"")</f>
        <v/>
      </c>
    </row>
    <row r="87" customFormat="false" ht="15" hidden="false" customHeight="false" outlineLevel="0" collapsed="false">
      <c r="A87" s="0" t="s">
        <v>117</v>
      </c>
      <c r="B87" s="2" t="n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P87" s="0" t="n">
        <v>50.9</v>
      </c>
      <c r="Q87" s="3" t="n">
        <f aca="false">IF($C87="Control",$P87,"")</f>
        <v>50.9</v>
      </c>
      <c r="R87" s="0" t="str">
        <f aca="false">IF($C87="Treatment",$P87,"")</f>
        <v/>
      </c>
      <c r="S87" s="0" t="str">
        <f aca="false">IF(AND($C87="Control",$K87=1),$L87,"")</f>
        <v/>
      </c>
      <c r="T87" s="0" t="str">
        <f aca="false">IF(AND($C87="Treatment",$K87=1),$L87,"")</f>
        <v/>
      </c>
    </row>
    <row r="88" customFormat="false" ht="15" hidden="false" customHeight="false" outlineLevel="0" collapsed="false">
      <c r="A88" s="0" t="s">
        <v>118</v>
      </c>
      <c r="B88" s="2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P88" s="0" t="n">
        <v>51</v>
      </c>
      <c r="Q88" s="3" t="n">
        <f aca="false">IF($C88="Control",$P88,"")</f>
        <v>51</v>
      </c>
      <c r="R88" s="0" t="str">
        <f aca="false">IF($C88="Treatment",$P88,"")</f>
        <v/>
      </c>
      <c r="S88" s="0" t="str">
        <f aca="false">IF(AND($C88="Control",$K88=1),$L88,"")</f>
        <v/>
      </c>
      <c r="T88" s="0" t="str">
        <f aca="false">IF(AND($C88="Treatment",$K88=1),$L88,"")</f>
        <v/>
      </c>
    </row>
    <row r="89" customFormat="false" ht="15" hidden="false" customHeight="false" outlineLevel="0" collapsed="false">
      <c r="A89" s="0" t="s">
        <v>119</v>
      </c>
      <c r="B89" s="2" t="n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P89" s="0" t="n">
        <v>65.8</v>
      </c>
      <c r="Q89" s="3" t="n">
        <f aca="false">IF($C89="Control",$P89,"")</f>
        <v>65.8</v>
      </c>
      <c r="R89" s="0" t="str">
        <f aca="false">IF($C89="Treatment",$P89,"")</f>
        <v/>
      </c>
      <c r="S89" s="0" t="str">
        <f aca="false">IF(AND($C89="Control",$K89=1),$L89,"")</f>
        <v/>
      </c>
      <c r="T89" s="0" t="str">
        <f aca="false">IF(AND($C89="Treatment",$K89=1),$L89,"")</f>
        <v/>
      </c>
    </row>
    <row r="90" customFormat="false" ht="15" hidden="false" customHeight="false" outlineLevel="0" collapsed="false">
      <c r="A90" s="0" t="s">
        <v>120</v>
      </c>
      <c r="B90" s="2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P90" s="0" t="n">
        <v>61.8</v>
      </c>
      <c r="Q90" s="3" t="n">
        <f aca="false">IF($C90="Control",$P90,"")</f>
        <v>61.8</v>
      </c>
      <c r="R90" s="0" t="str">
        <f aca="false">IF($C90="Treatment",$P90,"")</f>
        <v/>
      </c>
      <c r="S90" s="0" t="str">
        <f aca="false">IF(AND($C90="Control",$K90=1),$L90,"")</f>
        <v/>
      </c>
      <c r="T90" s="0" t="str">
        <f aca="false">IF(AND($C90="Treatment",$K90=1),$L90,"")</f>
        <v/>
      </c>
    </row>
    <row r="91" customFormat="false" ht="15" hidden="false" customHeight="false" outlineLevel="0" collapsed="false">
      <c r="A91" s="0" t="s">
        <v>121</v>
      </c>
      <c r="B91" s="2" t="n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P91" s="0" t="n">
        <v>54.5</v>
      </c>
      <c r="Q91" s="3" t="n">
        <f aca="false">IF($C91="Control",$P91,"")</f>
        <v>54.5</v>
      </c>
      <c r="R91" s="0" t="str">
        <f aca="false">IF($C91="Treatment",$P91,"")</f>
        <v/>
      </c>
      <c r="S91" s="0" t="str">
        <f aca="false">IF(AND($C91="Control",$K91=1),$L91,"")</f>
        <v/>
      </c>
      <c r="T91" s="0" t="str">
        <f aca="false">IF(AND($C91="Treatment",$K91=1),$L91,"")</f>
        <v/>
      </c>
    </row>
    <row r="92" customFormat="false" ht="15" hidden="false" customHeight="false" outlineLevel="0" collapsed="false">
      <c r="A92" s="0" t="s">
        <v>122</v>
      </c>
      <c r="B92" s="2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P92" s="0" t="n">
        <v>72.2</v>
      </c>
      <c r="Q92" s="3" t="n">
        <f aca="false">IF($C92="Control",$P92,"")</f>
        <v>72.2</v>
      </c>
      <c r="R92" s="0" t="str">
        <f aca="false">IF($C92="Treatment",$P92,"")</f>
        <v/>
      </c>
      <c r="S92" s="0" t="str">
        <f aca="false">IF(AND($C92="Control",$K92=1),$L92,"")</f>
        <v/>
      </c>
      <c r="T92" s="0" t="str">
        <f aca="false">IF(AND($C92="Treatment",$K92=1),$L92,"")</f>
        <v/>
      </c>
    </row>
    <row r="93" customFormat="false" ht="15" hidden="false" customHeight="false" outlineLevel="0" collapsed="false">
      <c r="A93" s="0" t="s">
        <v>123</v>
      </c>
      <c r="B93" s="2" t="n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P93" s="0" t="n">
        <v>42.3</v>
      </c>
      <c r="Q93" s="3" t="n">
        <f aca="false">IF($C93="Control",$P93,"")</f>
        <v>42.3</v>
      </c>
      <c r="R93" s="0" t="str">
        <f aca="false">IF($C93="Treatment",$P93,"")</f>
        <v/>
      </c>
      <c r="S93" s="0" t="str">
        <f aca="false">IF(AND($C93="Control",$K93=1),$L93,"")</f>
        <v/>
      </c>
      <c r="T93" s="0" t="str">
        <f aca="false">IF(AND($C93="Treatment",$K93=1),$L93,"")</f>
        <v/>
      </c>
    </row>
    <row r="94" customFormat="false" ht="15" hidden="false" customHeight="false" outlineLevel="0" collapsed="false">
      <c r="A94" s="0" t="s">
        <v>124</v>
      </c>
      <c r="B94" s="2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P94" s="0" t="n">
        <v>76.2</v>
      </c>
      <c r="Q94" s="3" t="n">
        <f aca="false">IF($C94="Control",$P94,"")</f>
        <v>76.2</v>
      </c>
      <c r="R94" s="0" t="str">
        <f aca="false">IF($C94="Treatment",$P94,"")</f>
        <v/>
      </c>
      <c r="S94" s="0" t="str">
        <f aca="false">IF(AND($C94="Control",$K94=1),$L94,"")</f>
        <v/>
      </c>
      <c r="T94" s="0" t="str">
        <f aca="false">IF(AND($C94="Treatment",$K94=1),$L94,"")</f>
        <v/>
      </c>
    </row>
    <row r="95" customFormat="false" ht="15" hidden="false" customHeight="false" outlineLevel="0" collapsed="false">
      <c r="A95" s="0" t="s">
        <v>125</v>
      </c>
      <c r="B95" s="2" t="n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P95" s="0" t="n">
        <v>37.4</v>
      </c>
      <c r="Q95" s="3" t="n">
        <f aca="false">IF($C95="Control",$P95,"")</f>
        <v>37.4</v>
      </c>
      <c r="R95" s="0" t="str">
        <f aca="false">IF($C95="Treatment",$P95,"")</f>
        <v/>
      </c>
      <c r="S95" s="0" t="str">
        <f aca="false">IF(AND($C95="Control",$K95=1),$L95,"")</f>
        <v/>
      </c>
      <c r="T95" s="0" t="str">
        <f aca="false">IF(AND($C95="Treatment",$K95=1),$L95,"")</f>
        <v/>
      </c>
    </row>
    <row r="96" customFormat="false" ht="15" hidden="false" customHeight="false" outlineLevel="0" collapsed="false">
      <c r="A96" s="0" t="s">
        <v>126</v>
      </c>
      <c r="B96" s="2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P96" s="0" t="n">
        <v>84.2</v>
      </c>
      <c r="Q96" s="3" t="n">
        <f aca="false">IF($C96="Control",$P96,"")</f>
        <v>84.2</v>
      </c>
      <c r="R96" s="0" t="str">
        <f aca="false">IF($C96="Treatment",$P96,"")</f>
        <v/>
      </c>
      <c r="S96" s="0" t="str">
        <f aca="false">IF(AND($C96="Control",$K96=1),$L96,"")</f>
        <v/>
      </c>
      <c r="T96" s="0" t="str">
        <f aca="false">IF(AND($C96="Treatment",$K96=1),$L96,"")</f>
        <v/>
      </c>
    </row>
    <row r="97" customFormat="false" ht="15" hidden="false" customHeight="false" outlineLevel="0" collapsed="false">
      <c r="A97" s="0" t="s">
        <v>127</v>
      </c>
      <c r="B97" s="2" t="n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P97" s="0" t="n">
        <v>68</v>
      </c>
      <c r="Q97" s="3" t="n">
        <f aca="false">IF($C97="Control",$P97,"")</f>
        <v>68</v>
      </c>
      <c r="R97" s="0" t="str">
        <f aca="false">IF($C97="Treatment",$P97,"")</f>
        <v/>
      </c>
      <c r="S97" s="0" t="str">
        <f aca="false">IF(AND($C97="Control",$K97=1),$L97,"")</f>
        <v/>
      </c>
      <c r="T97" s="0" t="str">
        <f aca="false">IF(AND($C97="Treatment",$K97=1),$L97,"")</f>
        <v/>
      </c>
    </row>
    <row r="98" customFormat="false" ht="15" hidden="false" customHeight="false" outlineLevel="0" collapsed="false">
      <c r="A98" s="0" t="s">
        <v>128</v>
      </c>
      <c r="B98" s="2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P98" s="0" t="n">
        <v>53.5</v>
      </c>
      <c r="Q98" s="3" t="n">
        <f aca="false">IF($C98="Control",$P98,"")</f>
        <v>53.5</v>
      </c>
      <c r="R98" s="0" t="str">
        <f aca="false">IF($C98="Treatment",$P98,"")</f>
        <v/>
      </c>
      <c r="S98" s="0" t="str">
        <f aca="false">IF(AND($C98="Control",$K98=1),$L98,"")</f>
        <v/>
      </c>
      <c r="T98" s="0" t="str">
        <f aca="false">IF(AND($C98="Treatment",$K98=1),$L98,"")</f>
        <v/>
      </c>
    </row>
    <row r="99" customFormat="false" ht="15" hidden="false" customHeight="false" outlineLevel="0" collapsed="false">
      <c r="A99" s="0" t="s">
        <v>129</v>
      </c>
      <c r="B99" s="2" t="n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P99" s="0" t="n">
        <v>63.2</v>
      </c>
      <c r="Q99" s="3" t="n">
        <f aca="false">IF($C99="Control",$P99,"")</f>
        <v>63.2</v>
      </c>
      <c r="R99" s="0" t="str">
        <f aca="false">IF($C99="Treatment",$P99,"")</f>
        <v/>
      </c>
      <c r="S99" s="0" t="str">
        <f aca="false">IF(AND($C99="Control",$K99=1),$L99,"")</f>
        <v/>
      </c>
      <c r="T99" s="0" t="str">
        <f aca="false">IF(AND($C99="Treatment",$K99=1),$L99,"")</f>
        <v/>
      </c>
    </row>
    <row r="100" customFormat="false" ht="15" hidden="false" customHeight="false" outlineLevel="0" collapsed="false">
      <c r="A100" s="0" t="s">
        <v>130</v>
      </c>
      <c r="B100" s="2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363.32</v>
      </c>
      <c r="M100" s="0" t="n">
        <v>0</v>
      </c>
      <c r="N100" s="0" t="n">
        <v>0</v>
      </c>
      <c r="O100" s="0" t="n">
        <v>9</v>
      </c>
      <c r="P100" s="0" t="n">
        <v>55.9</v>
      </c>
      <c r="Q100" s="3" t="n">
        <f aca="false">IF($C100="Control",$P100,"")</f>
        <v>55.9</v>
      </c>
      <c r="R100" s="0" t="str">
        <f aca="false">IF($C100="Treatment",$P100,"")</f>
        <v/>
      </c>
      <c r="S100" s="3" t="n">
        <f aca="false">IF(AND($C100="Control",$K100=1),$L100,"")</f>
        <v>363.32</v>
      </c>
      <c r="T100" s="0" t="str">
        <f aca="false">IF(AND($C100="Treatment",$K100=1),$L100,"")</f>
        <v/>
      </c>
    </row>
    <row r="101" customFormat="false" ht="15" hidden="false" customHeight="false" outlineLevel="0" collapsed="false">
      <c r="A101" s="0" t="s">
        <v>131</v>
      </c>
      <c r="B101" s="2" t="n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P101" s="0" t="n">
        <v>63.5</v>
      </c>
      <c r="Q101" s="3" t="n">
        <f aca="false">IF($C101="Control",$P101,"")</f>
        <v>63.5</v>
      </c>
      <c r="R101" s="0" t="str">
        <f aca="false">IF($C101="Treatment",$P101,"")</f>
        <v/>
      </c>
      <c r="S101" s="0" t="str">
        <f aca="false">IF(AND($C101="Control",$K101=1),$L101,"")</f>
        <v/>
      </c>
      <c r="T101" s="0" t="str">
        <f aca="false">IF(AND($C101="Treatment",$K101=1),$L101,"")</f>
        <v/>
      </c>
    </row>
    <row r="102" customFormat="false" ht="15" hidden="false" customHeight="false" outlineLevel="0" collapsed="false">
      <c r="A102" s="0" t="s">
        <v>132</v>
      </c>
      <c r="B102" s="2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P102" s="0" t="n">
        <v>51.5</v>
      </c>
      <c r="Q102" s="3" t="n">
        <f aca="false">IF($C102="Control",$P102,"")</f>
        <v>51.5</v>
      </c>
      <c r="R102" s="0" t="str">
        <f aca="false">IF($C102="Treatment",$P102,"")</f>
        <v/>
      </c>
      <c r="S102" s="0" t="str">
        <f aca="false">IF(AND($C102="Control",$K102=1),$L102,"")</f>
        <v/>
      </c>
      <c r="T102" s="0" t="str">
        <f aca="false">IF(AND($C102="Treatment",$K102=1),$L102,"")</f>
        <v/>
      </c>
    </row>
    <row r="103" customFormat="false" ht="15" hidden="false" customHeight="false" outlineLevel="0" collapsed="false">
      <c r="A103" s="0" t="s">
        <v>133</v>
      </c>
      <c r="B103" s="2" t="n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P103" s="0" t="n">
        <v>74.4</v>
      </c>
      <c r="Q103" s="3" t="n">
        <f aca="false">IF($C103="Control",$P103,"")</f>
        <v>74.4</v>
      </c>
      <c r="R103" s="0" t="str">
        <f aca="false">IF($C103="Treatment",$P103,"")</f>
        <v/>
      </c>
      <c r="S103" s="0" t="str">
        <f aca="false">IF(AND($C103="Control",$K103=1),$L103,"")</f>
        <v/>
      </c>
      <c r="T103" s="0" t="str">
        <f aca="false">IF(AND($C103="Treatment",$K103=1),$L103,"")</f>
        <v/>
      </c>
    </row>
    <row r="104" customFormat="false" ht="15" hidden="false" customHeight="false" outlineLevel="0" collapsed="false">
      <c r="A104" s="0" t="s">
        <v>134</v>
      </c>
      <c r="B104" s="2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3887.98</v>
      </c>
      <c r="M104" s="0" t="n">
        <v>0</v>
      </c>
      <c r="N104" s="0" t="n">
        <v>0</v>
      </c>
      <c r="O104" s="0" t="n">
        <v>13</v>
      </c>
      <c r="P104" s="0" t="n">
        <v>60.2</v>
      </c>
      <c r="Q104" s="3" t="n">
        <f aca="false">IF($C104="Control",$P104,"")</f>
        <v>60.2</v>
      </c>
      <c r="R104" s="0" t="str">
        <f aca="false">IF($C104="Treatment",$P104,"")</f>
        <v/>
      </c>
      <c r="S104" s="3" t="n">
        <f aca="false">IF(AND($C104="Control",$K104=1),$L104,"")</f>
        <v>3887.98</v>
      </c>
      <c r="T104" s="0" t="str">
        <f aca="false">IF(AND($C104="Treatment",$K104=1),$L104,"")</f>
        <v/>
      </c>
    </row>
    <row r="105" customFormat="false" ht="15" hidden="false" customHeight="false" outlineLevel="0" collapsed="false">
      <c r="A105" s="0" t="s">
        <v>135</v>
      </c>
      <c r="B105" s="2" t="n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P105" s="0" t="n">
        <v>67.2</v>
      </c>
      <c r="Q105" s="3" t="n">
        <f aca="false">IF($C105="Control",$P105,"")</f>
        <v>67.2</v>
      </c>
      <c r="R105" s="0" t="str">
        <f aca="false">IF($C105="Treatment",$P105,"")</f>
        <v/>
      </c>
      <c r="S105" s="0" t="str">
        <f aca="false">IF(AND($C105="Control",$K105=1),$L105,"")</f>
        <v/>
      </c>
      <c r="T105" s="0" t="str">
        <f aca="false">IF(AND($C105="Treatment",$K105=1),$L105,"")</f>
        <v/>
      </c>
    </row>
    <row r="106" customFormat="false" ht="15" hidden="false" customHeight="false" outlineLevel="0" collapsed="false">
      <c r="A106" s="0" t="s">
        <v>136</v>
      </c>
      <c r="B106" s="2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P106" s="0" t="n">
        <v>79.6</v>
      </c>
      <c r="Q106" s="3" t="n">
        <f aca="false">IF($C106="Control",$P106,"")</f>
        <v>79.6</v>
      </c>
      <c r="R106" s="0" t="str">
        <f aca="false">IF($C106="Treatment",$P106,"")</f>
        <v/>
      </c>
      <c r="S106" s="0" t="str">
        <f aca="false">IF(AND($C106="Control",$K106=1),$L106,"")</f>
        <v/>
      </c>
      <c r="T106" s="0" t="str">
        <f aca="false">IF(AND($C106="Treatment",$K106=1),$L106,"")</f>
        <v/>
      </c>
    </row>
    <row r="107" customFormat="false" ht="15" hidden="false" customHeight="false" outlineLevel="0" collapsed="false">
      <c r="A107" s="0" t="s">
        <v>137</v>
      </c>
      <c r="B107" s="2" t="n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8610.72</v>
      </c>
      <c r="M107" s="0" t="n">
        <v>0</v>
      </c>
      <c r="N107" s="0" t="n">
        <v>0</v>
      </c>
      <c r="O107" s="0" t="n">
        <v>6</v>
      </c>
      <c r="P107" s="0" t="n">
        <v>61</v>
      </c>
      <c r="Q107" s="3" t="n">
        <f aca="false">IF($C107="Control",$P107,"")</f>
        <v>61</v>
      </c>
      <c r="R107" s="0" t="str">
        <f aca="false">IF($C107="Treatment",$P107,"")</f>
        <v/>
      </c>
      <c r="S107" s="3" t="n">
        <f aca="false">IF(AND($C107="Control",$K107=1),$L107,"")</f>
        <v>8610.72</v>
      </c>
      <c r="T107" s="0" t="str">
        <f aca="false">IF(AND($C107="Treatment",$K107=1),$L107,"")</f>
        <v/>
      </c>
    </row>
    <row r="108" customFormat="false" ht="15" hidden="false" customHeight="false" outlineLevel="0" collapsed="false">
      <c r="A108" s="0" t="s">
        <v>138</v>
      </c>
      <c r="B108" s="2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4</v>
      </c>
      <c r="N108" s="0" t="n">
        <v>0</v>
      </c>
      <c r="P108" s="0" t="n">
        <v>51.1</v>
      </c>
      <c r="Q108" s="3" t="n">
        <f aca="false">IF($C108="Control",$P108,"")</f>
        <v>51.1</v>
      </c>
      <c r="R108" s="0" t="str">
        <f aca="false">IF($C108="Treatment",$P108,"")</f>
        <v/>
      </c>
      <c r="S108" s="0" t="str">
        <f aca="false">IF(AND($C108="Control",$K108=1),$L108,"")</f>
        <v/>
      </c>
      <c r="T108" s="0" t="str">
        <f aca="false">IF(AND($C108="Treatment",$K108=1),$L108,"")</f>
        <v/>
      </c>
    </row>
    <row r="109" customFormat="false" ht="15" hidden="false" customHeight="false" outlineLevel="0" collapsed="false">
      <c r="A109" s="0" t="s">
        <v>139</v>
      </c>
      <c r="B109" s="2" t="n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P109" s="0" t="n">
        <v>92.1</v>
      </c>
      <c r="Q109" s="3" t="n">
        <f aca="false">IF($C109="Control",$P109,"")</f>
        <v>92.1</v>
      </c>
      <c r="R109" s="0" t="str">
        <f aca="false">IF($C109="Treatment",$P109,"")</f>
        <v/>
      </c>
      <c r="S109" s="0" t="str">
        <f aca="false">IF(AND($C109="Control",$K109=1),$L109,"")</f>
        <v/>
      </c>
      <c r="T109" s="0" t="str">
        <f aca="false">IF(AND($C109="Treatment",$K109=1),$L109,"")</f>
        <v/>
      </c>
    </row>
    <row r="110" customFormat="false" ht="15" hidden="false" customHeight="false" outlineLevel="0" collapsed="false">
      <c r="A110" s="0" t="s">
        <v>140</v>
      </c>
      <c r="B110" s="2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P110" s="0" t="n">
        <v>82.1</v>
      </c>
      <c r="Q110" s="3" t="n">
        <f aca="false">IF($C110="Control",$P110,"")</f>
        <v>82.1</v>
      </c>
      <c r="R110" s="0" t="str">
        <f aca="false">IF($C110="Treatment",$P110,"")</f>
        <v/>
      </c>
      <c r="S110" s="0" t="str">
        <f aca="false">IF(AND($C110="Control",$K110=1),$L110,"")</f>
        <v/>
      </c>
      <c r="T110" s="0" t="str">
        <f aca="false">IF(AND($C110="Treatment",$K110=1),$L110,"")</f>
        <v/>
      </c>
    </row>
    <row r="111" customFormat="false" ht="15" hidden="false" customHeight="false" outlineLevel="0" collapsed="false">
      <c r="A111" s="0" t="s">
        <v>141</v>
      </c>
      <c r="B111" s="2" t="n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P111" s="0" t="n">
        <v>74</v>
      </c>
      <c r="Q111" s="3" t="n">
        <f aca="false">IF($C111="Control",$P111,"")</f>
        <v>74</v>
      </c>
      <c r="R111" s="0" t="str">
        <f aca="false">IF($C111="Treatment",$P111,"")</f>
        <v/>
      </c>
      <c r="S111" s="0" t="str">
        <f aca="false">IF(AND($C111="Control",$K111=1),$L111,"")</f>
        <v/>
      </c>
      <c r="T111" s="0" t="str">
        <f aca="false">IF(AND($C111="Treatment",$K111=1),$L111,"")</f>
        <v/>
      </c>
    </row>
    <row r="112" customFormat="false" ht="15" hidden="false" customHeight="false" outlineLevel="0" collapsed="false">
      <c r="A112" s="0" t="s">
        <v>142</v>
      </c>
      <c r="B112" s="2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P112" s="0" t="n">
        <v>63.4</v>
      </c>
      <c r="Q112" s="3" t="n">
        <f aca="false">IF($C112="Control",$P112,"")</f>
        <v>63.4</v>
      </c>
      <c r="R112" s="0" t="str">
        <f aca="false">IF($C112="Treatment",$P112,"")</f>
        <v/>
      </c>
      <c r="S112" s="0" t="str">
        <f aca="false">IF(AND($C112="Control",$K112=1),$L112,"")</f>
        <v/>
      </c>
      <c r="T112" s="0" t="str">
        <f aca="false">IF(AND($C112="Treatment",$K112=1),$L112,"")</f>
        <v/>
      </c>
    </row>
    <row r="113" customFormat="false" ht="15" hidden="false" customHeight="false" outlineLevel="0" collapsed="false">
      <c r="A113" s="0" t="s">
        <v>143</v>
      </c>
      <c r="B113" s="2" t="n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P113" s="0" t="n">
        <v>53.2</v>
      </c>
      <c r="Q113" s="3" t="n">
        <f aca="false">IF($C113="Control",$P113,"")</f>
        <v>53.2</v>
      </c>
      <c r="R113" s="0" t="str">
        <f aca="false">IF($C113="Treatment",$P113,"")</f>
        <v/>
      </c>
      <c r="S113" s="0" t="str">
        <f aca="false">IF(AND($C113="Control",$K113=1),$L113,"")</f>
        <v/>
      </c>
      <c r="T113" s="0" t="str">
        <f aca="false">IF(AND($C113="Treatment",$K113=1),$L113,"")</f>
        <v/>
      </c>
    </row>
    <row r="114" customFormat="false" ht="15" hidden="false" customHeight="false" outlineLevel="0" collapsed="false">
      <c r="A114" s="0" t="s">
        <v>144</v>
      </c>
      <c r="B114" s="2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P114" s="0" t="n">
        <v>48.1</v>
      </c>
      <c r="Q114" s="3" t="n">
        <f aca="false">IF($C114="Control",$P114,"")</f>
        <v>48.1</v>
      </c>
      <c r="R114" s="0" t="str">
        <f aca="false">IF($C114="Treatment",$P114,"")</f>
        <v/>
      </c>
      <c r="S114" s="0" t="str">
        <f aca="false">IF(AND($C114="Control",$K114=1),$L114,"")</f>
        <v/>
      </c>
      <c r="T114" s="0" t="str">
        <f aca="false">IF(AND($C114="Treatment",$K114=1),$L114,"")</f>
        <v/>
      </c>
    </row>
    <row r="115" customFormat="false" ht="15" hidden="false" customHeight="false" outlineLevel="0" collapsed="false">
      <c r="A115" s="0" t="s">
        <v>145</v>
      </c>
      <c r="B115" s="2" t="n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P115" s="0" t="n">
        <v>61.5</v>
      </c>
      <c r="Q115" s="3" t="n">
        <f aca="false">IF($C115="Control",$P115,"")</f>
        <v>61.5</v>
      </c>
      <c r="R115" s="0" t="str">
        <f aca="false">IF($C115="Treatment",$P115,"")</f>
        <v/>
      </c>
      <c r="S115" s="0" t="str">
        <f aca="false">IF(AND($C115="Control",$K115=1),$L115,"")</f>
        <v/>
      </c>
      <c r="T115" s="0" t="str">
        <f aca="false">IF(AND($C115="Treatment",$K115=1),$L115,"")</f>
        <v/>
      </c>
    </row>
    <row r="116" customFormat="false" ht="15" hidden="false" customHeight="false" outlineLevel="0" collapsed="false">
      <c r="A116" s="0" t="s">
        <v>146</v>
      </c>
      <c r="B116" s="2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P116" s="0" t="n">
        <v>63.2</v>
      </c>
      <c r="Q116" s="3" t="n">
        <f aca="false">IF($C116="Control",$P116,"")</f>
        <v>63.2</v>
      </c>
      <c r="R116" s="0" t="str">
        <f aca="false">IF($C116="Treatment",$P116,"")</f>
        <v/>
      </c>
      <c r="S116" s="0" t="str">
        <f aca="false">IF(AND($C116="Control",$K116=1),$L116,"")</f>
        <v/>
      </c>
      <c r="T116" s="0" t="str">
        <f aca="false">IF(AND($C116="Treatment",$K116=1),$L116,"")</f>
        <v/>
      </c>
    </row>
    <row r="117" customFormat="false" ht="15" hidden="false" customHeight="false" outlineLevel="0" collapsed="false">
      <c r="A117" s="0" t="s">
        <v>147</v>
      </c>
      <c r="B117" s="2" t="n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P117" s="0" t="n">
        <v>71.9</v>
      </c>
      <c r="Q117" s="3" t="n">
        <f aca="false">IF($C117="Control",$P117,"")</f>
        <v>71.9</v>
      </c>
      <c r="R117" s="0" t="str">
        <f aca="false">IF($C117="Treatment",$P117,"")</f>
        <v/>
      </c>
      <c r="S117" s="0" t="str">
        <f aca="false">IF(AND($C117="Control",$K117=1),$L117,"")</f>
        <v/>
      </c>
      <c r="T117" s="0" t="str">
        <f aca="false">IF(AND($C117="Treatment",$K117=1),$L117,"")</f>
        <v/>
      </c>
    </row>
    <row r="118" customFormat="false" ht="15" hidden="false" customHeight="false" outlineLevel="0" collapsed="false">
      <c r="A118" s="0" t="s">
        <v>148</v>
      </c>
      <c r="B118" s="2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P118" s="0" t="n">
        <v>62.7</v>
      </c>
      <c r="Q118" s="3" t="n">
        <f aca="false">IF($C118="Control",$P118,"")</f>
        <v>62.7</v>
      </c>
      <c r="R118" s="0" t="str">
        <f aca="false">IF($C118="Treatment",$P118,"")</f>
        <v/>
      </c>
      <c r="S118" s="0" t="str">
        <f aca="false">IF(AND($C118="Control",$K118=1),$L118,"")</f>
        <v/>
      </c>
      <c r="T118" s="0" t="str">
        <f aca="false">IF(AND($C118="Treatment",$K118=1),$L118,"")</f>
        <v/>
      </c>
    </row>
    <row r="119" customFormat="false" ht="15" hidden="false" customHeight="false" outlineLevel="0" collapsed="false">
      <c r="A119" s="0" t="s">
        <v>149</v>
      </c>
      <c r="B119" s="2" t="n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P119" s="0" t="n">
        <v>51.5</v>
      </c>
      <c r="Q119" s="3" t="n">
        <f aca="false">IF($C119="Control",$P119,"")</f>
        <v>51.5</v>
      </c>
      <c r="R119" s="0" t="str">
        <f aca="false">IF($C119="Treatment",$P119,"")</f>
        <v/>
      </c>
      <c r="S119" s="0" t="str">
        <f aca="false">IF(AND($C119="Control",$K119=1),$L119,"")</f>
        <v/>
      </c>
      <c r="T119" s="0" t="str">
        <f aca="false">IF(AND($C119="Treatment",$K119=1),$L119,"")</f>
        <v/>
      </c>
    </row>
    <row r="120" customFormat="false" ht="15" hidden="false" customHeight="false" outlineLevel="0" collapsed="false">
      <c r="A120" s="0" t="s">
        <v>150</v>
      </c>
      <c r="B120" s="2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P120" s="0" t="n">
        <v>39.1</v>
      </c>
      <c r="Q120" s="3" t="n">
        <f aca="false">IF($C120="Control",$P120,"")</f>
        <v>39.1</v>
      </c>
      <c r="R120" s="0" t="str">
        <f aca="false">IF($C120="Treatment",$P120,"")</f>
        <v/>
      </c>
      <c r="S120" s="0" t="str">
        <f aca="false">IF(AND($C120="Control",$K120=1),$L120,"")</f>
        <v/>
      </c>
      <c r="T120" s="0" t="str">
        <f aca="false">IF(AND($C120="Treatment",$K120=1),$L120,"")</f>
        <v/>
      </c>
    </row>
    <row r="121" customFormat="false" ht="15" hidden="false" customHeight="false" outlineLevel="0" collapsed="false">
      <c r="A121" s="0" t="s">
        <v>151</v>
      </c>
      <c r="B121" s="2" t="n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P121" s="0" t="n">
        <v>43.8</v>
      </c>
      <c r="Q121" s="3" t="n">
        <f aca="false">IF($C121="Control",$P121,"")</f>
        <v>43.8</v>
      </c>
      <c r="R121" s="0" t="str">
        <f aca="false">IF($C121="Treatment",$P121,"")</f>
        <v/>
      </c>
      <c r="S121" s="0" t="str">
        <f aca="false">IF(AND($C121="Control",$K121=1),$L121,"")</f>
        <v/>
      </c>
      <c r="T121" s="0" t="str">
        <f aca="false">IF(AND($C121="Treatment",$K121=1),$L121,"")</f>
        <v/>
      </c>
    </row>
    <row r="122" customFormat="false" ht="15" hidden="false" customHeight="false" outlineLevel="0" collapsed="false">
      <c r="A122" s="0" t="s">
        <v>152</v>
      </c>
      <c r="B122" s="2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P122" s="0" t="n">
        <v>59.9</v>
      </c>
      <c r="Q122" s="3" t="n">
        <f aca="false">IF($C122="Control",$P122,"")</f>
        <v>59.9</v>
      </c>
      <c r="R122" s="0" t="str">
        <f aca="false">IF($C122="Treatment",$P122,"")</f>
        <v/>
      </c>
      <c r="S122" s="0" t="str">
        <f aca="false">IF(AND($C122="Control",$K122=1),$L122,"")</f>
        <v/>
      </c>
      <c r="T122" s="0" t="str">
        <f aca="false">IF(AND($C122="Treatment",$K122=1),$L122,"")</f>
        <v/>
      </c>
    </row>
    <row r="123" customFormat="false" ht="15" hidden="false" customHeight="false" outlineLevel="0" collapsed="false">
      <c r="A123" s="0" t="s">
        <v>153</v>
      </c>
      <c r="B123" s="2" t="n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P123" s="0" t="n">
        <v>71.4</v>
      </c>
      <c r="Q123" s="3" t="n">
        <f aca="false">IF($C123="Control",$P123,"")</f>
        <v>71.4</v>
      </c>
      <c r="R123" s="0" t="str">
        <f aca="false">IF($C123="Treatment",$P123,"")</f>
        <v/>
      </c>
      <c r="S123" s="0" t="str">
        <f aca="false">IF(AND($C123="Control",$K123=1),$L123,"")</f>
        <v/>
      </c>
      <c r="T123" s="0" t="str">
        <f aca="false">IF(AND($C123="Treatment",$K123=1),$L123,"")</f>
        <v/>
      </c>
    </row>
    <row r="124" customFormat="false" ht="15" hidden="false" customHeight="false" outlineLevel="0" collapsed="false">
      <c r="A124" s="0" t="s">
        <v>154</v>
      </c>
      <c r="B124" s="2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P124" s="0" t="n">
        <v>36.1</v>
      </c>
      <c r="Q124" s="3" t="n">
        <f aca="false">IF($C124="Control",$P124,"")</f>
        <v>36.1</v>
      </c>
      <c r="R124" s="0" t="str">
        <f aca="false">IF($C124="Treatment",$P124,"")</f>
        <v/>
      </c>
      <c r="S124" s="0" t="str">
        <f aca="false">IF(AND($C124="Control",$K124=1),$L124,"")</f>
        <v/>
      </c>
      <c r="T124" s="0" t="str">
        <f aca="false">IF(AND($C124="Treatment",$K124=1),$L124,"")</f>
        <v/>
      </c>
    </row>
    <row r="125" customFormat="false" ht="15" hidden="false" customHeight="false" outlineLevel="0" collapsed="false">
      <c r="A125" s="0" t="s">
        <v>155</v>
      </c>
      <c r="B125" s="2" t="n">
        <v>45807</v>
      </c>
      <c r="C125" s="3" t="s">
        <v>17</v>
      </c>
      <c r="D125" s="3" t="s">
        <v>23</v>
      </c>
      <c r="E125" s="3" t="s">
        <v>1470</v>
      </c>
      <c r="F125" s="3" t="s">
        <v>20</v>
      </c>
      <c r="G125" s="3" t="s">
        <v>21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P125" s="0" t="n">
        <v>47.9</v>
      </c>
      <c r="Q125" s="3" t="n">
        <f aca="false">IF($C125="Control",$P125,"")</f>
        <v>47.9</v>
      </c>
      <c r="R125" s="0" t="str">
        <f aca="false">IF($C125="Treatment",$P125,"")</f>
        <v/>
      </c>
      <c r="S125" s="0" t="str">
        <f aca="false">IF(AND($C125="Control",$K125=1),$L125,"")</f>
        <v/>
      </c>
      <c r="T125" s="0" t="str">
        <f aca="false">IF(AND($C125="Treatment",$K125=1),$L125,"")</f>
        <v/>
      </c>
    </row>
    <row r="126" customFormat="false" ht="15" hidden="false" customHeight="false" outlineLevel="0" collapsed="false">
      <c r="A126" s="0" t="s">
        <v>156</v>
      </c>
      <c r="B126" s="2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P126" s="0" t="n">
        <v>62.5</v>
      </c>
      <c r="Q126" s="3" t="n">
        <f aca="false">IF($C126="Control",$P126,"")</f>
        <v>62.5</v>
      </c>
      <c r="R126" s="0" t="str">
        <f aca="false">IF($C126="Treatment",$P126,"")</f>
        <v/>
      </c>
      <c r="S126" s="0" t="str">
        <f aca="false">IF(AND($C126="Control",$K126=1),$L126,"")</f>
        <v/>
      </c>
      <c r="T126" s="0" t="str">
        <f aca="false">IF(AND($C126="Treatment",$K126=1),$L126,"")</f>
        <v/>
      </c>
    </row>
    <row r="127" customFormat="false" ht="15" hidden="false" customHeight="false" outlineLevel="0" collapsed="false">
      <c r="A127" s="0" t="s">
        <v>157</v>
      </c>
      <c r="B127" s="2" t="n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P127" s="0" t="n">
        <v>56.9</v>
      </c>
      <c r="Q127" s="3" t="n">
        <f aca="false">IF($C127="Control",$P127,"")</f>
        <v>56.9</v>
      </c>
      <c r="R127" s="0" t="str">
        <f aca="false">IF($C127="Treatment",$P127,"")</f>
        <v/>
      </c>
      <c r="S127" s="0" t="str">
        <f aca="false">IF(AND($C127="Control",$K127=1),$L127,"")</f>
        <v/>
      </c>
      <c r="T127" s="0" t="str">
        <f aca="false">IF(AND($C127="Treatment",$K127=1),$L127,"")</f>
        <v/>
      </c>
    </row>
    <row r="128" customFormat="false" ht="15" hidden="false" customHeight="false" outlineLevel="0" collapsed="false">
      <c r="A128" s="0" t="s">
        <v>158</v>
      </c>
      <c r="B128" s="2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P128" s="0" t="n">
        <v>64.7</v>
      </c>
      <c r="Q128" s="3" t="n">
        <f aca="false">IF($C128="Control",$P128,"")</f>
        <v>64.7</v>
      </c>
      <c r="R128" s="0" t="str">
        <f aca="false">IF($C128="Treatment",$P128,"")</f>
        <v/>
      </c>
      <c r="S128" s="0" t="str">
        <f aca="false">IF(AND($C128="Control",$K128=1),$L128,"")</f>
        <v/>
      </c>
      <c r="T128" s="0" t="str">
        <f aca="false">IF(AND($C128="Treatment",$K128=1),$L128,"")</f>
        <v/>
      </c>
    </row>
    <row r="129" customFormat="false" ht="15" hidden="false" customHeight="false" outlineLevel="0" collapsed="false">
      <c r="A129" s="0" t="s">
        <v>159</v>
      </c>
      <c r="B129" s="2" t="n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P129" s="0" t="n">
        <v>64</v>
      </c>
      <c r="Q129" s="3" t="n">
        <f aca="false">IF($C129="Control",$P129,"")</f>
        <v>64</v>
      </c>
      <c r="R129" s="0" t="str">
        <f aca="false">IF($C129="Treatment",$P129,"")</f>
        <v/>
      </c>
      <c r="S129" s="0" t="str">
        <f aca="false">IF(AND($C129="Control",$K129=1),$L129,"")</f>
        <v/>
      </c>
      <c r="T129" s="0" t="str">
        <f aca="false">IF(AND($C129="Treatment",$K129=1),$L129,"")</f>
        <v/>
      </c>
    </row>
    <row r="130" customFormat="false" ht="15" hidden="false" customHeight="false" outlineLevel="0" collapsed="false">
      <c r="A130" s="0" t="s">
        <v>160</v>
      </c>
      <c r="B130" s="2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P130" s="0" t="n">
        <v>75.2</v>
      </c>
      <c r="Q130" s="3" t="n">
        <f aca="false">IF($C130="Control",$P130,"")</f>
        <v>75.2</v>
      </c>
      <c r="R130" s="0" t="str">
        <f aca="false">IF($C130="Treatment",$P130,"")</f>
        <v/>
      </c>
      <c r="S130" s="0" t="str">
        <f aca="false">IF(AND($C130="Control",$K130=1),$L130,"")</f>
        <v/>
      </c>
      <c r="T130" s="0" t="str">
        <f aca="false">IF(AND($C130="Treatment",$K130=1),$L130,"")</f>
        <v/>
      </c>
    </row>
    <row r="131" customFormat="false" ht="15" hidden="false" customHeight="false" outlineLevel="0" collapsed="false">
      <c r="A131" s="0" t="s">
        <v>161</v>
      </c>
      <c r="B131" s="2" t="n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P131" s="0" t="n">
        <v>79</v>
      </c>
      <c r="Q131" s="3" t="n">
        <f aca="false">IF($C131="Control",$P131,"")</f>
        <v>79</v>
      </c>
      <c r="R131" s="0" t="str">
        <f aca="false">IF($C131="Treatment",$P131,"")</f>
        <v/>
      </c>
      <c r="S131" s="0" t="str">
        <f aca="false">IF(AND($C131="Control",$K131=1),$L131,"")</f>
        <v/>
      </c>
      <c r="T131" s="0" t="str">
        <f aca="false">IF(AND($C131="Treatment",$K131=1),$L131,"")</f>
        <v/>
      </c>
    </row>
    <row r="132" customFormat="false" ht="15" hidden="false" customHeight="false" outlineLevel="0" collapsed="false">
      <c r="A132" s="0" t="s">
        <v>162</v>
      </c>
      <c r="B132" s="2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P132" s="0" t="n">
        <v>33</v>
      </c>
      <c r="Q132" s="3" t="n">
        <f aca="false">IF($C132="Control",$P132,"")</f>
        <v>33</v>
      </c>
      <c r="R132" s="0" t="str">
        <f aca="false">IF($C132="Treatment",$P132,"")</f>
        <v/>
      </c>
      <c r="S132" s="0" t="str">
        <f aca="false">IF(AND($C132="Control",$K132=1),$L132,"")</f>
        <v/>
      </c>
      <c r="T132" s="0" t="str">
        <f aca="false">IF(AND($C132="Treatment",$K132=1),$L132,"")</f>
        <v/>
      </c>
    </row>
    <row r="133" customFormat="false" ht="15" hidden="false" customHeight="false" outlineLevel="0" collapsed="false">
      <c r="A133" s="0" t="s">
        <v>163</v>
      </c>
      <c r="B133" s="2" t="n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P133" s="0" t="n">
        <v>67.9</v>
      </c>
      <c r="Q133" s="3" t="n">
        <f aca="false">IF($C133="Control",$P133,"")</f>
        <v>67.9</v>
      </c>
      <c r="R133" s="0" t="str">
        <f aca="false">IF($C133="Treatment",$P133,"")</f>
        <v/>
      </c>
      <c r="S133" s="0" t="str">
        <f aca="false">IF(AND($C133="Control",$K133=1),$L133,"")</f>
        <v/>
      </c>
      <c r="T133" s="0" t="str">
        <f aca="false">IF(AND($C133="Treatment",$K133=1),$L133,"")</f>
        <v/>
      </c>
    </row>
    <row r="134" customFormat="false" ht="15" hidden="false" customHeight="false" outlineLevel="0" collapsed="false">
      <c r="A134" s="0" t="s">
        <v>164</v>
      </c>
      <c r="B134" s="2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P134" s="0" t="n">
        <v>42.2</v>
      </c>
      <c r="Q134" s="3" t="n">
        <f aca="false">IF($C134="Control",$P134,"")</f>
        <v>42.2</v>
      </c>
      <c r="R134" s="0" t="str">
        <f aca="false">IF($C134="Treatment",$P134,"")</f>
        <v/>
      </c>
      <c r="S134" s="0" t="str">
        <f aca="false">IF(AND($C134="Control",$K134=1),$L134,"")</f>
        <v/>
      </c>
      <c r="T134" s="0" t="str">
        <f aca="false">IF(AND($C134="Treatment",$K134=1),$L134,"")</f>
        <v/>
      </c>
    </row>
    <row r="135" customFormat="false" ht="15" hidden="false" customHeight="false" outlineLevel="0" collapsed="false">
      <c r="A135" s="0" t="s">
        <v>165</v>
      </c>
      <c r="B135" s="2" t="n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P135" s="0" t="n">
        <v>43.4</v>
      </c>
      <c r="Q135" s="3" t="n">
        <f aca="false">IF($C135="Control",$P135,"")</f>
        <v>43.4</v>
      </c>
      <c r="R135" s="0" t="str">
        <f aca="false">IF($C135="Treatment",$P135,"")</f>
        <v/>
      </c>
      <c r="S135" s="0" t="str">
        <f aca="false">IF(AND($C135="Control",$K135=1),$L135,"")</f>
        <v/>
      </c>
      <c r="T135" s="0" t="str">
        <f aca="false">IF(AND($C135="Treatment",$K135=1),$L135,"")</f>
        <v/>
      </c>
    </row>
    <row r="136" customFormat="false" ht="15" hidden="false" customHeight="false" outlineLevel="0" collapsed="false">
      <c r="A136" s="0" t="s">
        <v>166</v>
      </c>
      <c r="B136" s="2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P136" s="0" t="n">
        <v>54.4</v>
      </c>
      <c r="Q136" s="3" t="n">
        <f aca="false">IF($C136="Control",$P136,"")</f>
        <v>54.4</v>
      </c>
      <c r="R136" s="0" t="str">
        <f aca="false">IF($C136="Treatment",$P136,"")</f>
        <v/>
      </c>
      <c r="S136" s="0" t="str">
        <f aca="false">IF(AND($C136="Control",$K136=1),$L136,"")</f>
        <v/>
      </c>
      <c r="T136" s="0" t="str">
        <f aca="false">IF(AND($C136="Treatment",$K136=1),$L136,"")</f>
        <v/>
      </c>
    </row>
    <row r="137" customFormat="false" ht="15" hidden="false" customHeight="false" outlineLevel="0" collapsed="false">
      <c r="A137" s="0" t="s">
        <v>167</v>
      </c>
      <c r="B137" s="2" t="n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P137" s="0" t="n">
        <v>45.7</v>
      </c>
      <c r="Q137" s="3" t="n">
        <f aca="false">IF($C137="Control",$P137,"")</f>
        <v>45.7</v>
      </c>
      <c r="R137" s="0" t="str">
        <f aca="false">IF($C137="Treatment",$P137,"")</f>
        <v/>
      </c>
      <c r="S137" s="0" t="str">
        <f aca="false">IF(AND($C137="Control",$K137=1),$L137,"")</f>
        <v/>
      </c>
      <c r="T137" s="0" t="str">
        <f aca="false">IF(AND($C137="Treatment",$K137=1),$L137,"")</f>
        <v/>
      </c>
    </row>
    <row r="138" customFormat="false" ht="15" hidden="false" customHeight="false" outlineLevel="0" collapsed="false">
      <c r="A138" s="0" t="s">
        <v>168</v>
      </c>
      <c r="B138" s="2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3</v>
      </c>
      <c r="N138" s="0" t="n">
        <v>0</v>
      </c>
      <c r="P138" s="0" t="n">
        <v>32</v>
      </c>
      <c r="Q138" s="3" t="n">
        <f aca="false">IF($C138="Control",$P138,"")</f>
        <v>32</v>
      </c>
      <c r="R138" s="0" t="str">
        <f aca="false">IF($C138="Treatment",$P138,"")</f>
        <v/>
      </c>
      <c r="S138" s="0" t="str">
        <f aca="false">IF(AND($C138="Control",$K138=1),$L138,"")</f>
        <v/>
      </c>
      <c r="T138" s="0" t="str">
        <f aca="false">IF(AND($C138="Treatment",$K138=1),$L138,"")</f>
        <v/>
      </c>
    </row>
    <row r="139" customFormat="false" ht="15" hidden="false" customHeight="false" outlineLevel="0" collapsed="false">
      <c r="A139" s="0" t="s">
        <v>169</v>
      </c>
      <c r="B139" s="2" t="n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P139" s="0" t="n">
        <v>70.9</v>
      </c>
      <c r="Q139" s="3" t="n">
        <f aca="false">IF($C139="Control",$P139,"")</f>
        <v>70.9</v>
      </c>
      <c r="R139" s="0" t="str">
        <f aca="false">IF($C139="Treatment",$P139,"")</f>
        <v/>
      </c>
      <c r="S139" s="0" t="str">
        <f aca="false">IF(AND($C139="Control",$K139=1),$L139,"")</f>
        <v/>
      </c>
      <c r="T139" s="0" t="str">
        <f aca="false">IF(AND($C139="Treatment",$K139=1),$L139,"")</f>
        <v/>
      </c>
    </row>
    <row r="140" customFormat="false" ht="15" hidden="false" customHeight="false" outlineLevel="0" collapsed="false">
      <c r="A140" s="0" t="s">
        <v>170</v>
      </c>
      <c r="B140" s="2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P140" s="0" t="n">
        <v>59.1</v>
      </c>
      <c r="Q140" s="3" t="n">
        <f aca="false">IF($C140="Control",$P140,"")</f>
        <v>59.1</v>
      </c>
      <c r="R140" s="0" t="str">
        <f aca="false">IF($C140="Treatment",$P140,"")</f>
        <v/>
      </c>
      <c r="S140" s="0" t="str">
        <f aca="false">IF(AND($C140="Control",$K140=1),$L140,"")</f>
        <v/>
      </c>
      <c r="T140" s="0" t="str">
        <f aca="false">IF(AND($C140="Treatment",$K140=1),$L140,"")</f>
        <v/>
      </c>
    </row>
    <row r="141" customFormat="false" ht="15" hidden="false" customHeight="false" outlineLevel="0" collapsed="false">
      <c r="A141" s="0" t="s">
        <v>171</v>
      </c>
      <c r="B141" s="2" t="n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P141" s="0" t="n">
        <v>62.4</v>
      </c>
      <c r="Q141" s="3" t="n">
        <f aca="false">IF($C141="Control",$P141,"")</f>
        <v>62.4</v>
      </c>
      <c r="R141" s="0" t="str">
        <f aca="false">IF($C141="Treatment",$P141,"")</f>
        <v/>
      </c>
      <c r="S141" s="0" t="str">
        <f aca="false">IF(AND($C141="Control",$K141=1),$L141,"")</f>
        <v/>
      </c>
      <c r="T141" s="0" t="str">
        <f aca="false">IF(AND($C141="Treatment",$K141=1),$L141,"")</f>
        <v/>
      </c>
    </row>
    <row r="142" customFormat="false" ht="15" hidden="false" customHeight="false" outlineLevel="0" collapsed="false">
      <c r="A142" s="0" t="s">
        <v>172</v>
      </c>
      <c r="B142" s="2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P142" s="0" t="n">
        <v>49.6</v>
      </c>
      <c r="Q142" s="3" t="n">
        <f aca="false">IF($C142="Control",$P142,"")</f>
        <v>49.6</v>
      </c>
      <c r="R142" s="0" t="str">
        <f aca="false">IF($C142="Treatment",$P142,"")</f>
        <v/>
      </c>
      <c r="S142" s="0" t="str">
        <f aca="false">IF(AND($C142="Control",$K142=1),$L142,"")</f>
        <v/>
      </c>
      <c r="T142" s="0" t="str">
        <f aca="false">IF(AND($C142="Treatment",$K142=1),$L142,"")</f>
        <v/>
      </c>
    </row>
    <row r="143" customFormat="false" ht="15" hidden="false" customHeight="false" outlineLevel="0" collapsed="false">
      <c r="A143" s="0" t="s">
        <v>173</v>
      </c>
      <c r="B143" s="2" t="n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404.4</v>
      </c>
      <c r="M143" s="0" t="n">
        <v>0</v>
      </c>
      <c r="N143" s="0" t="n">
        <v>0</v>
      </c>
      <c r="O143" s="0" t="n">
        <v>9</v>
      </c>
      <c r="P143" s="0" t="n">
        <v>80.6</v>
      </c>
      <c r="Q143" s="3" t="n">
        <f aca="false">IF($C143="Control",$P143,"")</f>
        <v>80.6</v>
      </c>
      <c r="R143" s="0" t="str">
        <f aca="false">IF($C143="Treatment",$P143,"")</f>
        <v/>
      </c>
      <c r="S143" s="3" t="n">
        <f aca="false">IF(AND($C143="Control",$K143=1),$L143,"")</f>
        <v>404.4</v>
      </c>
      <c r="T143" s="0" t="str">
        <f aca="false">IF(AND($C143="Treatment",$K143=1),$L143,"")</f>
        <v/>
      </c>
    </row>
    <row r="144" customFormat="false" ht="15" hidden="false" customHeight="false" outlineLevel="0" collapsed="false">
      <c r="A144" s="0" t="s">
        <v>174</v>
      </c>
      <c r="B144" s="2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P144" s="0" t="n">
        <v>47.9</v>
      </c>
      <c r="Q144" s="3" t="n">
        <f aca="false">IF($C144="Control",$P144,"")</f>
        <v>47.9</v>
      </c>
      <c r="R144" s="0" t="str">
        <f aca="false">IF($C144="Treatment",$P144,"")</f>
        <v/>
      </c>
      <c r="S144" s="0" t="str">
        <f aca="false">IF(AND($C144="Control",$K144=1),$L144,"")</f>
        <v/>
      </c>
      <c r="T144" s="0" t="str">
        <f aca="false">IF(AND($C144="Treatment",$K144=1),$L144,"")</f>
        <v/>
      </c>
    </row>
    <row r="145" customFormat="false" ht="15" hidden="false" customHeight="false" outlineLevel="0" collapsed="false">
      <c r="A145" s="0" t="s">
        <v>175</v>
      </c>
      <c r="B145" s="2" t="n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P145" s="0" t="n">
        <v>54.8</v>
      </c>
      <c r="Q145" s="3" t="n">
        <f aca="false">IF($C145="Control",$P145,"")</f>
        <v>54.8</v>
      </c>
      <c r="R145" s="0" t="str">
        <f aca="false">IF($C145="Treatment",$P145,"")</f>
        <v/>
      </c>
      <c r="S145" s="0" t="str">
        <f aca="false">IF(AND($C145="Control",$K145=1),$L145,"")</f>
        <v/>
      </c>
      <c r="T145" s="0" t="str">
        <f aca="false">IF(AND($C145="Treatment",$K145=1),$L145,"")</f>
        <v/>
      </c>
    </row>
    <row r="146" customFormat="false" ht="15" hidden="false" customHeight="false" outlineLevel="0" collapsed="false">
      <c r="A146" s="0" t="s">
        <v>176</v>
      </c>
      <c r="B146" s="2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P146" s="0" t="n">
        <v>53.9</v>
      </c>
      <c r="Q146" s="3" t="n">
        <f aca="false">IF($C146="Control",$P146,"")</f>
        <v>53.9</v>
      </c>
      <c r="R146" s="0" t="str">
        <f aca="false">IF($C146="Treatment",$P146,"")</f>
        <v/>
      </c>
      <c r="S146" s="0" t="str">
        <f aca="false">IF(AND($C146="Control",$K146=1),$L146,"")</f>
        <v/>
      </c>
      <c r="T146" s="0" t="str">
        <f aca="false">IF(AND($C146="Treatment",$K146=1),$L146,"")</f>
        <v/>
      </c>
    </row>
    <row r="147" customFormat="false" ht="15" hidden="false" customHeight="false" outlineLevel="0" collapsed="false">
      <c r="A147" s="0" t="s">
        <v>177</v>
      </c>
      <c r="B147" s="2" t="n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P147" s="0" t="n">
        <v>41.3</v>
      </c>
      <c r="Q147" s="3" t="n">
        <f aca="false">IF($C147="Control",$P147,"")</f>
        <v>41.3</v>
      </c>
      <c r="R147" s="0" t="str">
        <f aca="false">IF($C147="Treatment",$P147,"")</f>
        <v/>
      </c>
      <c r="S147" s="0" t="str">
        <f aca="false">IF(AND($C147="Control",$K147=1),$L147,"")</f>
        <v/>
      </c>
      <c r="T147" s="0" t="str">
        <f aca="false">IF(AND($C147="Treatment",$K147=1),$L147,"")</f>
        <v/>
      </c>
    </row>
    <row r="148" customFormat="false" ht="15" hidden="false" customHeight="false" outlineLevel="0" collapsed="false">
      <c r="A148" s="0" t="s">
        <v>178</v>
      </c>
      <c r="B148" s="2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P148" s="0" t="n">
        <v>38.9</v>
      </c>
      <c r="Q148" s="3" t="n">
        <f aca="false">IF($C148="Control",$P148,"")</f>
        <v>38.9</v>
      </c>
      <c r="R148" s="0" t="str">
        <f aca="false">IF($C148="Treatment",$P148,"")</f>
        <v/>
      </c>
      <c r="S148" s="0" t="str">
        <f aca="false">IF(AND($C148="Control",$K148=1),$L148,"")</f>
        <v/>
      </c>
      <c r="T148" s="0" t="str">
        <f aca="false">IF(AND($C148="Treatment",$K148=1),$L148,"")</f>
        <v/>
      </c>
    </row>
    <row r="149" customFormat="false" ht="15" hidden="false" customHeight="false" outlineLevel="0" collapsed="false">
      <c r="A149" s="0" t="s">
        <v>179</v>
      </c>
      <c r="B149" s="2" t="n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P149" s="0" t="n">
        <v>63.6</v>
      </c>
      <c r="Q149" s="3" t="n">
        <f aca="false">IF($C149="Control",$P149,"")</f>
        <v>63.6</v>
      </c>
      <c r="R149" s="0" t="str">
        <f aca="false">IF($C149="Treatment",$P149,"")</f>
        <v/>
      </c>
      <c r="S149" s="0" t="str">
        <f aca="false">IF(AND($C149="Control",$K149=1),$L149,"")</f>
        <v/>
      </c>
      <c r="T149" s="0" t="str">
        <f aca="false">IF(AND($C149="Treatment",$K149=1),$L149,"")</f>
        <v/>
      </c>
    </row>
    <row r="150" customFormat="false" ht="15" hidden="false" customHeight="false" outlineLevel="0" collapsed="false">
      <c r="A150" s="0" t="s">
        <v>180</v>
      </c>
      <c r="B150" s="2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577.94</v>
      </c>
      <c r="M150" s="0" t="n">
        <v>0</v>
      </c>
      <c r="N150" s="0" t="n">
        <v>0</v>
      </c>
      <c r="O150" s="0" t="n">
        <v>9</v>
      </c>
      <c r="P150" s="0" t="n">
        <v>76.6</v>
      </c>
      <c r="Q150" s="3" t="n">
        <f aca="false">IF($C150="Control",$P150,"")</f>
        <v>76.6</v>
      </c>
      <c r="R150" s="0" t="str">
        <f aca="false">IF($C150="Treatment",$P150,"")</f>
        <v/>
      </c>
      <c r="S150" s="3" t="n">
        <f aca="false">IF(AND($C150="Control",$K150=1),$L150,"")</f>
        <v>577.94</v>
      </c>
      <c r="T150" s="0" t="str">
        <f aca="false">IF(AND($C150="Treatment",$K150=1),$L150,"")</f>
        <v/>
      </c>
    </row>
    <row r="151" customFormat="false" ht="15" hidden="false" customHeight="false" outlineLevel="0" collapsed="false">
      <c r="A151" s="0" t="s">
        <v>181</v>
      </c>
      <c r="B151" s="2" t="n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P151" s="0" t="n">
        <v>67.6</v>
      </c>
      <c r="Q151" s="3" t="n">
        <f aca="false">IF($C151="Control",$P151,"")</f>
        <v>67.6</v>
      </c>
      <c r="R151" s="0" t="str">
        <f aca="false">IF($C151="Treatment",$P151,"")</f>
        <v/>
      </c>
      <c r="S151" s="0" t="str">
        <f aca="false">IF(AND($C151="Control",$K151=1),$L151,"")</f>
        <v/>
      </c>
      <c r="T151" s="0" t="str">
        <f aca="false">IF(AND($C151="Treatment",$K151=1),$L151,"")</f>
        <v/>
      </c>
    </row>
    <row r="152" customFormat="false" ht="15" hidden="false" customHeight="false" outlineLevel="0" collapsed="false">
      <c r="A152" s="0" t="s">
        <v>182</v>
      </c>
      <c r="B152" s="2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P152" s="0" t="n">
        <v>43.1</v>
      </c>
      <c r="Q152" s="3" t="n">
        <f aca="false">IF($C152="Control",$P152,"")</f>
        <v>43.1</v>
      </c>
      <c r="R152" s="0" t="str">
        <f aca="false">IF($C152="Treatment",$P152,"")</f>
        <v/>
      </c>
      <c r="S152" s="0" t="str">
        <f aca="false">IF(AND($C152="Control",$K152=1),$L152,"")</f>
        <v/>
      </c>
      <c r="T152" s="0" t="str">
        <f aca="false">IF(AND($C152="Treatment",$K152=1),$L152,"")</f>
        <v/>
      </c>
    </row>
    <row r="153" customFormat="false" ht="15" hidden="false" customHeight="false" outlineLevel="0" collapsed="false">
      <c r="A153" s="0" t="s">
        <v>183</v>
      </c>
      <c r="B153" s="2" t="n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P153" s="0" t="n">
        <v>58.3</v>
      </c>
      <c r="Q153" s="3" t="n">
        <f aca="false">IF($C153="Control",$P153,"")</f>
        <v>58.3</v>
      </c>
      <c r="R153" s="0" t="str">
        <f aca="false">IF($C153="Treatment",$P153,"")</f>
        <v/>
      </c>
      <c r="S153" s="0" t="str">
        <f aca="false">IF(AND($C153="Control",$K153=1),$L153,"")</f>
        <v/>
      </c>
      <c r="T153" s="0" t="str">
        <f aca="false">IF(AND($C153="Treatment",$K153=1),$L153,"")</f>
        <v/>
      </c>
    </row>
    <row r="154" customFormat="false" ht="15" hidden="false" customHeight="false" outlineLevel="0" collapsed="false">
      <c r="A154" s="0" t="s">
        <v>184</v>
      </c>
      <c r="B154" s="2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P154" s="0" t="n">
        <v>69.8</v>
      </c>
      <c r="Q154" s="3" t="n">
        <f aca="false">IF($C154="Control",$P154,"")</f>
        <v>69.8</v>
      </c>
      <c r="R154" s="0" t="str">
        <f aca="false">IF($C154="Treatment",$P154,"")</f>
        <v/>
      </c>
      <c r="S154" s="0" t="str">
        <f aca="false">IF(AND($C154="Control",$K154=1),$L154,"")</f>
        <v/>
      </c>
      <c r="T154" s="0" t="str">
        <f aca="false">IF(AND($C154="Treatment",$K154=1),$L154,"")</f>
        <v/>
      </c>
    </row>
    <row r="155" customFormat="false" ht="15" hidden="false" customHeight="false" outlineLevel="0" collapsed="false">
      <c r="A155" s="0" t="s">
        <v>185</v>
      </c>
      <c r="B155" s="2" t="n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Q155" s="3" t="n">
        <f aca="false">IF($C155="Control",$P155,"")</f>
        <v>0</v>
      </c>
      <c r="R155" s="0" t="str">
        <f aca="false">IF($C155="Treatment",$P155,"")</f>
        <v/>
      </c>
      <c r="S155" s="0" t="str">
        <f aca="false">IF(AND($C155="Control",$K155=1),$L155,"")</f>
        <v/>
      </c>
      <c r="T155" s="0" t="str">
        <f aca="false">IF(AND($C155="Treatment",$K155=1),$L155,"")</f>
        <v/>
      </c>
    </row>
    <row r="156" customFormat="false" ht="15" hidden="false" customHeight="false" outlineLevel="0" collapsed="false">
      <c r="A156" s="0" t="s">
        <v>186</v>
      </c>
      <c r="B156" s="2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P156" s="0" t="n">
        <v>41.9</v>
      </c>
      <c r="Q156" s="3" t="n">
        <f aca="false">IF($C156="Control",$P156,"")</f>
        <v>41.9</v>
      </c>
      <c r="R156" s="0" t="str">
        <f aca="false">IF($C156="Treatment",$P156,"")</f>
        <v/>
      </c>
      <c r="S156" s="0" t="str">
        <f aca="false">IF(AND($C156="Control",$K156=1),$L156,"")</f>
        <v/>
      </c>
      <c r="T156" s="0" t="str">
        <f aca="false">IF(AND($C156="Treatment",$K156=1),$L156,"")</f>
        <v/>
      </c>
    </row>
    <row r="157" customFormat="false" ht="15" hidden="false" customHeight="false" outlineLevel="0" collapsed="false">
      <c r="A157" s="0" t="s">
        <v>187</v>
      </c>
      <c r="B157" s="2" t="n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P157" s="0" t="n">
        <v>33.1</v>
      </c>
      <c r="Q157" s="3" t="n">
        <f aca="false">IF($C157="Control",$P157,"")</f>
        <v>33.1</v>
      </c>
      <c r="R157" s="0" t="str">
        <f aca="false">IF($C157="Treatment",$P157,"")</f>
        <v/>
      </c>
      <c r="S157" s="0" t="str">
        <f aca="false">IF(AND($C157="Control",$K157=1),$L157,"")</f>
        <v/>
      </c>
      <c r="T157" s="0" t="str">
        <f aca="false">IF(AND($C157="Treatment",$K157=1),$L157,"")</f>
        <v/>
      </c>
    </row>
    <row r="158" customFormat="false" ht="15" hidden="false" customHeight="false" outlineLevel="0" collapsed="false">
      <c r="A158" s="0" t="s">
        <v>188</v>
      </c>
      <c r="B158" s="2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P158" s="0" t="n">
        <v>58.6</v>
      </c>
      <c r="Q158" s="3" t="n">
        <f aca="false">IF($C158="Control",$P158,"")</f>
        <v>58.6</v>
      </c>
      <c r="R158" s="0" t="str">
        <f aca="false">IF($C158="Treatment",$P158,"")</f>
        <v/>
      </c>
      <c r="S158" s="0" t="str">
        <f aca="false">IF(AND($C158="Control",$K158=1),$L158,"")</f>
        <v/>
      </c>
      <c r="T158" s="0" t="str">
        <f aca="false">IF(AND($C158="Treatment",$K158=1),$L158,"")</f>
        <v/>
      </c>
    </row>
    <row r="159" customFormat="false" ht="15" hidden="false" customHeight="false" outlineLevel="0" collapsed="false">
      <c r="A159" s="0" t="s">
        <v>189</v>
      </c>
      <c r="B159" s="2" t="n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P159" s="0" t="n">
        <v>55.7</v>
      </c>
      <c r="Q159" s="3" t="n">
        <f aca="false">IF($C159="Control",$P159,"")</f>
        <v>55.7</v>
      </c>
      <c r="R159" s="0" t="str">
        <f aca="false">IF($C159="Treatment",$P159,"")</f>
        <v/>
      </c>
      <c r="S159" s="0" t="str">
        <f aca="false">IF(AND($C159="Control",$K159=1),$L159,"")</f>
        <v/>
      </c>
      <c r="T159" s="0" t="str">
        <f aca="false">IF(AND($C159="Treatment",$K159=1),$L159,"")</f>
        <v/>
      </c>
    </row>
    <row r="160" customFormat="false" ht="15" hidden="false" customHeight="false" outlineLevel="0" collapsed="false">
      <c r="A160" s="0" t="s">
        <v>190</v>
      </c>
      <c r="B160" s="2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0</v>
      </c>
      <c r="P160" s="0" t="n">
        <v>64.9</v>
      </c>
      <c r="Q160" s="3" t="n">
        <f aca="false">IF($C160="Control",$P160,"")</f>
        <v>64.9</v>
      </c>
      <c r="R160" s="0" t="str">
        <f aca="false">IF($C160="Treatment",$P160,"")</f>
        <v/>
      </c>
      <c r="S160" s="0" t="str">
        <f aca="false">IF(AND($C160="Control",$K160=1),$L160,"")</f>
        <v/>
      </c>
      <c r="T160" s="0" t="str">
        <f aca="false">IF(AND($C160="Treatment",$K160=1),$L160,"")</f>
        <v/>
      </c>
    </row>
    <row r="161" customFormat="false" ht="15" hidden="false" customHeight="false" outlineLevel="0" collapsed="false">
      <c r="A161" s="0" t="s">
        <v>191</v>
      </c>
      <c r="B161" s="2" t="n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P161" s="0" t="n">
        <v>72.3</v>
      </c>
      <c r="Q161" s="3" t="n">
        <f aca="false">IF($C161="Control",$P161,"")</f>
        <v>72.3</v>
      </c>
      <c r="R161" s="0" t="str">
        <f aca="false">IF($C161="Treatment",$P161,"")</f>
        <v/>
      </c>
      <c r="S161" s="0" t="str">
        <f aca="false">IF(AND($C161="Control",$K161=1),$L161,"")</f>
        <v/>
      </c>
      <c r="T161" s="0" t="str">
        <f aca="false">IF(AND($C161="Treatment",$K161=1),$L161,"")</f>
        <v/>
      </c>
    </row>
    <row r="162" customFormat="false" ht="15" hidden="false" customHeight="false" outlineLevel="0" collapsed="false">
      <c r="A162" s="0" t="s">
        <v>192</v>
      </c>
      <c r="B162" s="2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P162" s="0" t="n">
        <v>42.1</v>
      </c>
      <c r="Q162" s="3" t="n">
        <f aca="false">IF($C162="Control",$P162,"")</f>
        <v>42.1</v>
      </c>
      <c r="R162" s="0" t="str">
        <f aca="false">IF($C162="Treatment",$P162,"")</f>
        <v/>
      </c>
      <c r="S162" s="0" t="str">
        <f aca="false">IF(AND($C162="Control",$K162=1),$L162,"")</f>
        <v/>
      </c>
      <c r="T162" s="0" t="str">
        <f aca="false">IF(AND($C162="Treatment",$K162=1),$L162,"")</f>
        <v/>
      </c>
    </row>
    <row r="163" customFormat="false" ht="15" hidden="false" customHeight="false" outlineLevel="0" collapsed="false">
      <c r="A163" s="0" t="s">
        <v>193</v>
      </c>
      <c r="B163" s="2" t="n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Q163" s="3" t="n">
        <f aca="false">IF($C163="Control",$P163,"")</f>
        <v>0</v>
      </c>
      <c r="R163" s="0" t="str">
        <f aca="false">IF($C163="Treatment",$P163,"")</f>
        <v/>
      </c>
      <c r="S163" s="0" t="str">
        <f aca="false">IF(AND($C163="Control",$K163=1),$L163,"")</f>
        <v/>
      </c>
      <c r="T163" s="0" t="str">
        <f aca="false">IF(AND($C163="Treatment",$K163=1),$L163,"")</f>
        <v/>
      </c>
    </row>
    <row r="164" customFormat="false" ht="15" hidden="false" customHeight="false" outlineLevel="0" collapsed="false">
      <c r="A164" s="0" t="s">
        <v>194</v>
      </c>
      <c r="B164" s="2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P164" s="0" t="n">
        <v>64.8</v>
      </c>
      <c r="Q164" s="3" t="n">
        <f aca="false">IF($C164="Control",$P164,"")</f>
        <v>64.8</v>
      </c>
      <c r="R164" s="0" t="str">
        <f aca="false">IF($C164="Treatment",$P164,"")</f>
        <v/>
      </c>
      <c r="S164" s="0" t="str">
        <f aca="false">IF(AND($C164="Control",$K164=1),$L164,"")</f>
        <v/>
      </c>
      <c r="T164" s="0" t="str">
        <f aca="false">IF(AND($C164="Treatment",$K164=1),$L164,"")</f>
        <v/>
      </c>
    </row>
    <row r="165" customFormat="false" ht="15" hidden="false" customHeight="false" outlineLevel="0" collapsed="false">
      <c r="A165" s="0" t="s">
        <v>195</v>
      </c>
      <c r="B165" s="2" t="n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P165" s="0" t="n">
        <v>72.1</v>
      </c>
      <c r="Q165" s="3" t="n">
        <f aca="false">IF($C165="Control",$P165,"")</f>
        <v>72.1</v>
      </c>
      <c r="R165" s="0" t="str">
        <f aca="false">IF($C165="Treatment",$P165,"")</f>
        <v/>
      </c>
      <c r="S165" s="0" t="str">
        <f aca="false">IF(AND($C165="Control",$K165=1),$L165,"")</f>
        <v/>
      </c>
      <c r="T165" s="0" t="str">
        <f aca="false">IF(AND($C165="Treatment",$K165=1),$L165,"")</f>
        <v/>
      </c>
    </row>
    <row r="166" customFormat="false" ht="15" hidden="false" customHeight="false" outlineLevel="0" collapsed="false">
      <c r="A166" s="0" t="s">
        <v>196</v>
      </c>
      <c r="B166" s="2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P166" s="0" t="n">
        <v>50.6</v>
      </c>
      <c r="Q166" s="3" t="n">
        <f aca="false">IF($C166="Control",$P166,"")</f>
        <v>50.6</v>
      </c>
      <c r="R166" s="0" t="str">
        <f aca="false">IF($C166="Treatment",$P166,"")</f>
        <v/>
      </c>
      <c r="S166" s="0" t="str">
        <f aca="false">IF(AND($C166="Control",$K166=1),$L166,"")</f>
        <v/>
      </c>
      <c r="T166" s="0" t="str">
        <f aca="false">IF(AND($C166="Treatment",$K166=1),$L166,"")</f>
        <v/>
      </c>
    </row>
    <row r="167" customFormat="false" ht="15" hidden="false" customHeight="false" outlineLevel="0" collapsed="false">
      <c r="A167" s="0" t="s">
        <v>197</v>
      </c>
      <c r="B167" s="2" t="n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1281.25</v>
      </c>
      <c r="M167" s="0" t="n">
        <v>1</v>
      </c>
      <c r="N167" s="0" t="n">
        <v>0</v>
      </c>
      <c r="O167" s="0" t="n">
        <v>9</v>
      </c>
      <c r="P167" s="0" t="n">
        <v>43.4</v>
      </c>
      <c r="Q167" s="3" t="n">
        <f aca="false">IF($C167="Control",$P167,"")</f>
        <v>43.4</v>
      </c>
      <c r="R167" s="0" t="str">
        <f aca="false">IF($C167="Treatment",$P167,"")</f>
        <v/>
      </c>
      <c r="S167" s="3" t="n">
        <f aca="false">IF(AND($C167="Control",$K167=1),$L167,"")</f>
        <v>1281.25</v>
      </c>
      <c r="T167" s="0" t="str">
        <f aca="false">IF(AND($C167="Treatment",$K167=1),$L167,"")</f>
        <v/>
      </c>
    </row>
    <row r="168" customFormat="false" ht="15" hidden="false" customHeight="false" outlineLevel="0" collapsed="false">
      <c r="A168" s="0" t="s">
        <v>198</v>
      </c>
      <c r="B168" s="2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P168" s="0" t="n">
        <v>59.7</v>
      </c>
      <c r="Q168" s="3" t="n">
        <f aca="false">IF($C168="Control",$P168,"")</f>
        <v>59.7</v>
      </c>
      <c r="R168" s="0" t="str">
        <f aca="false">IF($C168="Treatment",$P168,"")</f>
        <v/>
      </c>
      <c r="S168" s="0" t="str">
        <f aca="false">IF(AND($C168="Control",$K168=1),$L168,"")</f>
        <v/>
      </c>
      <c r="T168" s="0" t="str">
        <f aca="false">IF(AND($C168="Treatment",$K168=1),$L168,"")</f>
        <v/>
      </c>
    </row>
    <row r="169" customFormat="false" ht="15" hidden="false" customHeight="false" outlineLevel="0" collapsed="false">
      <c r="A169" s="0" t="s">
        <v>199</v>
      </c>
      <c r="B169" s="2" t="n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Q169" s="3" t="n">
        <f aca="false">IF($C169="Control",$P169,"")</f>
        <v>0</v>
      </c>
      <c r="R169" s="0" t="str">
        <f aca="false">IF($C169="Treatment",$P169,"")</f>
        <v/>
      </c>
      <c r="S169" s="0" t="str">
        <f aca="false">IF(AND($C169="Control",$K169=1),$L169,"")</f>
        <v/>
      </c>
      <c r="T169" s="0" t="str">
        <f aca="false">IF(AND($C169="Treatment",$K169=1),$L169,"")</f>
        <v/>
      </c>
    </row>
    <row r="170" customFormat="false" ht="15" hidden="false" customHeight="false" outlineLevel="0" collapsed="false">
      <c r="A170" s="0" t="s">
        <v>200</v>
      </c>
      <c r="B170" s="2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P170" s="0" t="n">
        <v>54.5</v>
      </c>
      <c r="Q170" s="3" t="n">
        <f aca="false">IF($C170="Control",$P170,"")</f>
        <v>54.5</v>
      </c>
      <c r="R170" s="0" t="str">
        <f aca="false">IF($C170="Treatment",$P170,"")</f>
        <v/>
      </c>
      <c r="S170" s="0" t="str">
        <f aca="false">IF(AND($C170="Control",$K170=1),$L170,"")</f>
        <v/>
      </c>
      <c r="T170" s="0" t="str">
        <f aca="false">IF(AND($C170="Treatment",$K170=1),$L170,"")</f>
        <v/>
      </c>
    </row>
    <row r="171" customFormat="false" ht="15" hidden="false" customHeight="false" outlineLevel="0" collapsed="false">
      <c r="A171" s="0" t="s">
        <v>201</v>
      </c>
      <c r="B171" s="2" t="n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P171" s="0" t="n">
        <v>71.1</v>
      </c>
      <c r="Q171" s="3" t="n">
        <f aca="false">IF($C171="Control",$P171,"")</f>
        <v>71.1</v>
      </c>
      <c r="R171" s="0" t="str">
        <f aca="false">IF($C171="Treatment",$P171,"")</f>
        <v/>
      </c>
      <c r="S171" s="0" t="str">
        <f aca="false">IF(AND($C171="Control",$K171=1),$L171,"")</f>
        <v/>
      </c>
      <c r="T171" s="0" t="str">
        <f aca="false">IF(AND($C171="Treatment",$K171=1),$L171,"")</f>
        <v/>
      </c>
    </row>
    <row r="172" customFormat="false" ht="15" hidden="false" customHeight="false" outlineLevel="0" collapsed="false">
      <c r="A172" s="0" t="s">
        <v>202</v>
      </c>
      <c r="B172" s="2" t="n">
        <v>45806</v>
      </c>
      <c r="C172" s="3" t="s">
        <v>17</v>
      </c>
      <c r="D172" s="3" t="s">
        <v>28</v>
      </c>
      <c r="E172" s="3" t="s">
        <v>1470</v>
      </c>
      <c r="F172" s="3" t="s">
        <v>29</v>
      </c>
      <c r="G172" s="3" t="s">
        <v>26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P172" s="0" t="n">
        <v>44.4</v>
      </c>
      <c r="Q172" s="3" t="n">
        <f aca="false">IF($C172="Control",$P172,"")</f>
        <v>44.4</v>
      </c>
      <c r="R172" s="0" t="str">
        <f aca="false">IF($C172="Treatment",$P172,"")</f>
        <v/>
      </c>
      <c r="S172" s="0" t="str">
        <f aca="false">IF(AND($C172="Control",$K172=1),$L172,"")</f>
        <v/>
      </c>
      <c r="T172" s="0" t="str">
        <f aca="false">IF(AND($C172="Treatment",$K172=1),$L172,"")</f>
        <v/>
      </c>
    </row>
    <row r="173" customFormat="false" ht="15" hidden="false" customHeight="false" outlineLevel="0" collapsed="false">
      <c r="A173" s="0" t="s">
        <v>203</v>
      </c>
      <c r="B173" s="2" t="n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P173" s="0" t="n">
        <v>61.7</v>
      </c>
      <c r="Q173" s="3" t="n">
        <f aca="false">IF($C173="Control",$P173,"")</f>
        <v>61.7</v>
      </c>
      <c r="R173" s="0" t="str">
        <f aca="false">IF($C173="Treatment",$P173,"")</f>
        <v/>
      </c>
      <c r="S173" s="0" t="str">
        <f aca="false">IF(AND($C173="Control",$K173=1),$L173,"")</f>
        <v/>
      </c>
      <c r="T173" s="0" t="str">
        <f aca="false">IF(AND($C173="Treatment",$K173=1),$L173,"")</f>
        <v/>
      </c>
    </row>
    <row r="174" customFormat="false" ht="15" hidden="false" customHeight="false" outlineLevel="0" collapsed="false">
      <c r="A174" s="0" t="s">
        <v>204</v>
      </c>
      <c r="B174" s="2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P174" s="0" t="n">
        <v>81.3</v>
      </c>
      <c r="Q174" s="3" t="n">
        <f aca="false">IF($C174="Control",$P174,"")</f>
        <v>81.3</v>
      </c>
      <c r="R174" s="0" t="str">
        <f aca="false">IF($C174="Treatment",$P174,"")</f>
        <v/>
      </c>
      <c r="S174" s="0" t="str">
        <f aca="false">IF(AND($C174="Control",$K174=1),$L174,"")</f>
        <v/>
      </c>
      <c r="T174" s="0" t="str">
        <f aca="false">IF(AND($C174="Treatment",$K174=1),$L174,"")</f>
        <v/>
      </c>
    </row>
    <row r="175" customFormat="false" ht="15" hidden="false" customHeight="false" outlineLevel="0" collapsed="false">
      <c r="A175" s="0" t="s">
        <v>205</v>
      </c>
      <c r="B175" s="2" t="n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0</v>
      </c>
      <c r="P175" s="0" t="n">
        <v>28.7</v>
      </c>
      <c r="Q175" s="3" t="n">
        <f aca="false">IF($C175="Control",$P175,"")</f>
        <v>28.7</v>
      </c>
      <c r="R175" s="0" t="str">
        <f aca="false">IF($C175="Treatment",$P175,"")</f>
        <v/>
      </c>
      <c r="S175" s="0" t="str">
        <f aca="false">IF(AND($C175="Control",$K175=1),$L175,"")</f>
        <v/>
      </c>
      <c r="T175" s="0" t="str">
        <f aca="false">IF(AND($C175="Treatment",$K175=1),$L175,"")</f>
        <v/>
      </c>
    </row>
    <row r="176" customFormat="false" ht="15" hidden="false" customHeight="false" outlineLevel="0" collapsed="false">
      <c r="A176" s="0" t="s">
        <v>206</v>
      </c>
      <c r="B176" s="2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P176" s="0" t="n">
        <v>53</v>
      </c>
      <c r="Q176" s="3" t="n">
        <f aca="false">IF($C176="Control",$P176,"")</f>
        <v>53</v>
      </c>
      <c r="R176" s="0" t="str">
        <f aca="false">IF($C176="Treatment",$P176,"")</f>
        <v/>
      </c>
      <c r="S176" s="0" t="str">
        <f aca="false">IF(AND($C176="Control",$K176=1),$L176,"")</f>
        <v/>
      </c>
      <c r="T176" s="0" t="str">
        <f aca="false">IF(AND($C176="Treatment",$K176=1),$L176,"")</f>
        <v/>
      </c>
    </row>
    <row r="177" customFormat="false" ht="15" hidden="false" customHeight="false" outlineLevel="0" collapsed="false">
      <c r="A177" s="0" t="s">
        <v>207</v>
      </c>
      <c r="B177" s="2" t="n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P177" s="0" t="n">
        <v>54.9</v>
      </c>
      <c r="Q177" s="3" t="n">
        <f aca="false">IF($C177="Control",$P177,"")</f>
        <v>54.9</v>
      </c>
      <c r="R177" s="0" t="str">
        <f aca="false">IF($C177="Treatment",$P177,"")</f>
        <v/>
      </c>
      <c r="S177" s="0" t="str">
        <f aca="false">IF(AND($C177="Control",$K177=1),$L177,"")</f>
        <v/>
      </c>
      <c r="T177" s="0" t="str">
        <f aca="false">IF(AND($C177="Treatment",$K177=1),$L177,"")</f>
        <v/>
      </c>
    </row>
    <row r="178" customFormat="false" ht="15" hidden="false" customHeight="false" outlineLevel="0" collapsed="false">
      <c r="A178" s="0" t="s">
        <v>208</v>
      </c>
      <c r="B178" s="2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P178" s="0" t="n">
        <v>58.2</v>
      </c>
      <c r="Q178" s="3" t="n">
        <f aca="false">IF($C178="Control",$P178,"")</f>
        <v>58.2</v>
      </c>
      <c r="R178" s="0" t="str">
        <f aca="false">IF($C178="Treatment",$P178,"")</f>
        <v/>
      </c>
      <c r="S178" s="0" t="str">
        <f aca="false">IF(AND($C178="Control",$K178=1),$L178,"")</f>
        <v/>
      </c>
      <c r="T178" s="0" t="str">
        <f aca="false">IF(AND($C178="Treatment",$K178=1),$L178,"")</f>
        <v/>
      </c>
    </row>
    <row r="179" customFormat="false" ht="15" hidden="false" customHeight="false" outlineLevel="0" collapsed="false">
      <c r="A179" s="0" t="s">
        <v>209</v>
      </c>
      <c r="B179" s="2" t="n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P179" s="0" t="n">
        <v>80.6</v>
      </c>
      <c r="Q179" s="3" t="n">
        <f aca="false">IF($C179="Control",$P179,"")</f>
        <v>80.6</v>
      </c>
      <c r="R179" s="0" t="str">
        <f aca="false">IF($C179="Treatment",$P179,"")</f>
        <v/>
      </c>
      <c r="S179" s="0" t="str">
        <f aca="false">IF(AND($C179="Control",$K179=1),$L179,"")</f>
        <v/>
      </c>
      <c r="T179" s="0" t="str">
        <f aca="false">IF(AND($C179="Treatment",$K179=1),$L179,"")</f>
        <v/>
      </c>
    </row>
    <row r="180" customFormat="false" ht="15" hidden="false" customHeight="false" outlineLevel="0" collapsed="false">
      <c r="A180" s="0" t="s">
        <v>210</v>
      </c>
      <c r="B180" s="2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0" t="n">
        <v>1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P180" s="0" t="n">
        <v>38.4</v>
      </c>
      <c r="Q180" s="3" t="n">
        <f aca="false">IF($C180="Control",$P180,"")</f>
        <v>38.4</v>
      </c>
      <c r="R180" s="0" t="str">
        <f aca="false">IF($C180="Treatment",$P180,"")</f>
        <v/>
      </c>
      <c r="S180" s="0" t="str">
        <f aca="false">IF(AND($C180="Control",$K180=1),$L180,"")</f>
        <v/>
      </c>
      <c r="T180" s="0" t="str">
        <f aca="false">IF(AND($C180="Treatment",$K180=1),$L180,"")</f>
        <v/>
      </c>
    </row>
    <row r="181" customFormat="false" ht="15" hidden="false" customHeight="false" outlineLevel="0" collapsed="false">
      <c r="A181" s="0" t="s">
        <v>211</v>
      </c>
      <c r="B181" s="2" t="n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P181" s="0" t="n">
        <v>56.1</v>
      </c>
      <c r="Q181" s="3" t="n">
        <f aca="false">IF($C181="Control",$P181,"")</f>
        <v>56.1</v>
      </c>
      <c r="R181" s="0" t="str">
        <f aca="false">IF($C181="Treatment",$P181,"")</f>
        <v/>
      </c>
      <c r="S181" s="0" t="str">
        <f aca="false">IF(AND($C181="Control",$K181=1),$L181,"")</f>
        <v/>
      </c>
      <c r="T181" s="0" t="str">
        <f aca="false">IF(AND($C181="Treatment",$K181=1),$L181,"")</f>
        <v/>
      </c>
    </row>
    <row r="182" customFormat="false" ht="15" hidden="false" customHeight="false" outlineLevel="0" collapsed="false">
      <c r="A182" s="0" t="s">
        <v>212</v>
      </c>
      <c r="B182" s="2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P182" s="0" t="n">
        <v>62.6</v>
      </c>
      <c r="Q182" s="3" t="n">
        <f aca="false">IF($C182="Control",$P182,"")</f>
        <v>62.6</v>
      </c>
      <c r="R182" s="0" t="str">
        <f aca="false">IF($C182="Treatment",$P182,"")</f>
        <v/>
      </c>
      <c r="S182" s="0" t="str">
        <f aca="false">IF(AND($C182="Control",$K182=1),$L182,"")</f>
        <v/>
      </c>
      <c r="T182" s="0" t="str">
        <f aca="false">IF(AND($C182="Treatment",$K182=1),$L182,"")</f>
        <v/>
      </c>
    </row>
    <row r="183" customFormat="false" ht="15" hidden="false" customHeight="false" outlineLevel="0" collapsed="false">
      <c r="A183" s="0" t="s">
        <v>213</v>
      </c>
      <c r="B183" s="2" t="n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P183" s="0" t="n">
        <v>36.3</v>
      </c>
      <c r="Q183" s="3" t="n">
        <f aca="false">IF($C183="Control",$P183,"")</f>
        <v>36.3</v>
      </c>
      <c r="R183" s="0" t="str">
        <f aca="false">IF($C183="Treatment",$P183,"")</f>
        <v/>
      </c>
      <c r="S183" s="0" t="str">
        <f aca="false">IF(AND($C183="Control",$K183=1),$L183,"")</f>
        <v/>
      </c>
      <c r="T183" s="0" t="str">
        <f aca="false">IF(AND($C183="Treatment",$K183=1),$L183,"")</f>
        <v/>
      </c>
    </row>
    <row r="184" customFormat="false" ht="15" hidden="false" customHeight="false" outlineLevel="0" collapsed="false">
      <c r="A184" s="0" t="s">
        <v>214</v>
      </c>
      <c r="B184" s="2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P184" s="0" t="n">
        <v>52.1</v>
      </c>
      <c r="Q184" s="3" t="n">
        <f aca="false">IF($C184="Control",$P184,"")</f>
        <v>52.1</v>
      </c>
      <c r="R184" s="0" t="str">
        <f aca="false">IF($C184="Treatment",$P184,"")</f>
        <v/>
      </c>
      <c r="S184" s="0" t="str">
        <f aca="false">IF(AND($C184="Control",$K184=1),$L184,"")</f>
        <v/>
      </c>
      <c r="T184" s="0" t="str">
        <f aca="false">IF(AND($C184="Treatment",$K184=1),$L184,"")</f>
        <v/>
      </c>
    </row>
    <row r="185" customFormat="false" ht="15" hidden="false" customHeight="false" outlineLevel="0" collapsed="false">
      <c r="A185" s="0" t="s">
        <v>215</v>
      </c>
      <c r="B185" s="2" t="n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P185" s="0" t="n">
        <v>45.1</v>
      </c>
      <c r="Q185" s="3" t="n">
        <f aca="false">IF($C185="Control",$P185,"")</f>
        <v>45.1</v>
      </c>
      <c r="R185" s="0" t="str">
        <f aca="false">IF($C185="Treatment",$P185,"")</f>
        <v/>
      </c>
      <c r="S185" s="0" t="str">
        <f aca="false">IF(AND($C185="Control",$K185=1),$L185,"")</f>
        <v/>
      </c>
      <c r="T185" s="0" t="str">
        <f aca="false">IF(AND($C185="Treatment",$K185=1),$L185,"")</f>
        <v/>
      </c>
    </row>
    <row r="186" customFormat="false" ht="15" hidden="false" customHeight="false" outlineLevel="0" collapsed="false">
      <c r="A186" s="0" t="s">
        <v>216</v>
      </c>
      <c r="B186" s="2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P186" s="0" t="n">
        <v>67.5</v>
      </c>
      <c r="Q186" s="3" t="n">
        <f aca="false">IF($C186="Control",$P186,"")</f>
        <v>67.5</v>
      </c>
      <c r="R186" s="0" t="str">
        <f aca="false">IF($C186="Treatment",$P186,"")</f>
        <v/>
      </c>
      <c r="S186" s="0" t="str">
        <f aca="false">IF(AND($C186="Control",$K186=1),$L186,"")</f>
        <v/>
      </c>
      <c r="T186" s="0" t="str">
        <f aca="false">IF(AND($C186="Treatment",$K186=1),$L186,"")</f>
        <v/>
      </c>
    </row>
    <row r="187" customFormat="false" ht="15" hidden="false" customHeight="false" outlineLevel="0" collapsed="false">
      <c r="A187" s="0" t="s">
        <v>217</v>
      </c>
      <c r="B187" s="2" t="n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P187" s="0" t="n">
        <v>80</v>
      </c>
      <c r="Q187" s="3" t="n">
        <f aca="false">IF($C187="Control",$P187,"")</f>
        <v>80</v>
      </c>
      <c r="R187" s="0" t="str">
        <f aca="false">IF($C187="Treatment",$P187,"")</f>
        <v/>
      </c>
      <c r="S187" s="0" t="str">
        <f aca="false">IF(AND($C187="Control",$K187=1),$L187,"")</f>
        <v/>
      </c>
      <c r="T187" s="0" t="str">
        <f aca="false">IF(AND($C187="Treatment",$K187=1),$L187,"")</f>
        <v/>
      </c>
    </row>
    <row r="188" customFormat="false" ht="15" hidden="false" customHeight="false" outlineLevel="0" collapsed="false">
      <c r="A188" s="0" t="s">
        <v>218</v>
      </c>
      <c r="B188" s="2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P188" s="0" t="n">
        <v>56.4</v>
      </c>
      <c r="Q188" s="3" t="n">
        <f aca="false">IF($C188="Control",$P188,"")</f>
        <v>56.4</v>
      </c>
      <c r="R188" s="0" t="str">
        <f aca="false">IF($C188="Treatment",$P188,"")</f>
        <v/>
      </c>
      <c r="S188" s="0" t="str">
        <f aca="false">IF(AND($C188="Control",$K188=1),$L188,"")</f>
        <v/>
      </c>
      <c r="T188" s="0" t="str">
        <f aca="false">IF(AND($C188="Treatment",$K188=1),$L188,"")</f>
        <v/>
      </c>
    </row>
    <row r="189" customFormat="false" ht="15" hidden="false" customHeight="false" outlineLevel="0" collapsed="false">
      <c r="A189" s="0" t="s">
        <v>219</v>
      </c>
      <c r="B189" s="2" t="n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P189" s="0" t="n">
        <v>55.4</v>
      </c>
      <c r="Q189" s="3" t="n">
        <f aca="false">IF($C189="Control",$P189,"")</f>
        <v>55.4</v>
      </c>
      <c r="R189" s="0" t="str">
        <f aca="false">IF($C189="Treatment",$P189,"")</f>
        <v/>
      </c>
      <c r="S189" s="0" t="str">
        <f aca="false">IF(AND($C189="Control",$K189=1),$L189,"")</f>
        <v/>
      </c>
      <c r="T189" s="0" t="str">
        <f aca="false">IF(AND($C189="Treatment",$K189=1),$L189,"")</f>
        <v/>
      </c>
    </row>
    <row r="190" customFormat="false" ht="15" hidden="false" customHeight="false" outlineLevel="0" collapsed="false">
      <c r="A190" s="0" t="s">
        <v>220</v>
      </c>
      <c r="B190" s="2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P190" s="0" t="n">
        <v>67.9</v>
      </c>
      <c r="Q190" s="3" t="n">
        <f aca="false">IF($C190="Control",$P190,"")</f>
        <v>67.9</v>
      </c>
      <c r="R190" s="0" t="str">
        <f aca="false">IF($C190="Treatment",$P190,"")</f>
        <v/>
      </c>
      <c r="S190" s="0" t="str">
        <f aca="false">IF(AND($C190="Control",$K190=1),$L190,"")</f>
        <v/>
      </c>
      <c r="T190" s="0" t="str">
        <f aca="false">IF(AND($C190="Treatment",$K190=1),$L190,"")</f>
        <v/>
      </c>
    </row>
    <row r="191" customFormat="false" ht="15" hidden="false" customHeight="false" outlineLevel="0" collapsed="false">
      <c r="A191" s="0" t="s">
        <v>221</v>
      </c>
      <c r="B191" s="2" t="n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P191" s="0" t="n">
        <v>62.5</v>
      </c>
      <c r="Q191" s="3" t="n">
        <f aca="false">IF($C191="Control",$P191,"")</f>
        <v>62.5</v>
      </c>
      <c r="R191" s="0" t="str">
        <f aca="false">IF($C191="Treatment",$P191,"")</f>
        <v/>
      </c>
      <c r="S191" s="0" t="str">
        <f aca="false">IF(AND($C191="Control",$K191=1),$L191,"")</f>
        <v/>
      </c>
      <c r="T191" s="0" t="str">
        <f aca="false">IF(AND($C191="Treatment",$K191=1),$L191,"")</f>
        <v/>
      </c>
    </row>
    <row r="192" customFormat="false" ht="15" hidden="false" customHeight="false" outlineLevel="0" collapsed="false">
      <c r="A192" s="0" t="s">
        <v>222</v>
      </c>
      <c r="B192" s="2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P192" s="0" t="n">
        <v>54.3</v>
      </c>
      <c r="Q192" s="3" t="n">
        <f aca="false">IF($C192="Control",$P192,"")</f>
        <v>54.3</v>
      </c>
      <c r="R192" s="0" t="str">
        <f aca="false">IF($C192="Treatment",$P192,"")</f>
        <v/>
      </c>
      <c r="S192" s="0" t="str">
        <f aca="false">IF(AND($C192="Control",$K192=1),$L192,"")</f>
        <v/>
      </c>
      <c r="T192" s="0" t="str">
        <f aca="false">IF(AND($C192="Treatment",$K192=1),$L192,"")</f>
        <v/>
      </c>
    </row>
    <row r="193" customFormat="false" ht="15" hidden="false" customHeight="false" outlineLevel="0" collapsed="false">
      <c r="A193" s="0" t="s">
        <v>223</v>
      </c>
      <c r="B193" s="2" t="n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P193" s="0" t="n">
        <v>37.5</v>
      </c>
      <c r="Q193" s="3" t="n">
        <f aca="false">IF($C193="Control",$P193,"")</f>
        <v>37.5</v>
      </c>
      <c r="R193" s="0" t="str">
        <f aca="false">IF($C193="Treatment",$P193,"")</f>
        <v/>
      </c>
      <c r="S193" s="0" t="str">
        <f aca="false">IF(AND($C193="Control",$K193=1),$L193,"")</f>
        <v/>
      </c>
      <c r="T193" s="0" t="str">
        <f aca="false">IF(AND($C193="Treatment",$K193=1),$L193,"")</f>
        <v/>
      </c>
    </row>
    <row r="194" customFormat="false" ht="15" hidden="false" customHeight="false" outlineLevel="0" collapsed="false">
      <c r="A194" s="0" t="s">
        <v>224</v>
      </c>
      <c r="B194" s="2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P194" s="0" t="n">
        <v>52.6</v>
      </c>
      <c r="Q194" s="3" t="n">
        <f aca="false">IF($C194="Control",$P194,"")</f>
        <v>52.6</v>
      </c>
      <c r="R194" s="0" t="str">
        <f aca="false">IF($C194="Treatment",$P194,"")</f>
        <v/>
      </c>
      <c r="S194" s="0" t="str">
        <f aca="false">IF(AND($C194="Control",$K194=1),$L194,"")</f>
        <v/>
      </c>
      <c r="T194" s="0" t="str">
        <f aca="false">IF(AND($C194="Treatment",$K194=1),$L194,"")</f>
        <v/>
      </c>
    </row>
    <row r="195" customFormat="false" ht="15" hidden="false" customHeight="false" outlineLevel="0" collapsed="false">
      <c r="A195" s="0" t="s">
        <v>225</v>
      </c>
      <c r="B195" s="2" t="n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P195" s="0" t="n">
        <v>46.1</v>
      </c>
      <c r="Q195" s="3" t="n">
        <f aca="false">IF($C195="Control",$P195,"")</f>
        <v>46.1</v>
      </c>
      <c r="R195" s="0" t="str">
        <f aca="false">IF($C195="Treatment",$P195,"")</f>
        <v/>
      </c>
      <c r="S195" s="0" t="str">
        <f aca="false">IF(AND($C195="Control",$K195=1),$L195,"")</f>
        <v/>
      </c>
      <c r="T195" s="0" t="str">
        <f aca="false">IF(AND($C195="Treatment",$K195=1),$L195,"")</f>
        <v/>
      </c>
    </row>
    <row r="196" customFormat="false" ht="15" hidden="false" customHeight="false" outlineLevel="0" collapsed="false">
      <c r="A196" s="0" t="s">
        <v>226</v>
      </c>
      <c r="B196" s="2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P196" s="0" t="n">
        <v>54.7</v>
      </c>
      <c r="Q196" s="3" t="n">
        <f aca="false">IF($C196="Control",$P196,"")</f>
        <v>54.7</v>
      </c>
      <c r="R196" s="0" t="str">
        <f aca="false">IF($C196="Treatment",$P196,"")</f>
        <v/>
      </c>
      <c r="S196" s="0" t="str">
        <f aca="false">IF(AND($C196="Control",$K196=1),$L196,"")</f>
        <v/>
      </c>
      <c r="T196" s="0" t="str">
        <f aca="false">IF(AND($C196="Treatment",$K196=1),$L196,"")</f>
        <v/>
      </c>
    </row>
    <row r="197" customFormat="false" ht="15" hidden="false" customHeight="false" outlineLevel="0" collapsed="false">
      <c r="A197" s="0" t="s">
        <v>227</v>
      </c>
      <c r="B197" s="2" t="n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P197" s="0" t="n">
        <v>74.2</v>
      </c>
      <c r="Q197" s="3" t="n">
        <f aca="false">IF($C197="Control",$P197,"")</f>
        <v>74.2</v>
      </c>
      <c r="R197" s="0" t="str">
        <f aca="false">IF($C197="Treatment",$P197,"")</f>
        <v/>
      </c>
      <c r="S197" s="0" t="str">
        <f aca="false">IF(AND($C197="Control",$K197=1),$L197,"")</f>
        <v/>
      </c>
      <c r="T197" s="0" t="str">
        <f aca="false">IF(AND($C197="Treatment",$K197=1),$L197,"")</f>
        <v/>
      </c>
    </row>
    <row r="198" customFormat="false" ht="15" hidden="false" customHeight="false" outlineLevel="0" collapsed="false">
      <c r="A198" s="0" t="s">
        <v>228</v>
      </c>
      <c r="B198" s="2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1052.8</v>
      </c>
      <c r="M198" s="0" t="n">
        <v>2</v>
      </c>
      <c r="N198" s="0" t="n">
        <v>0</v>
      </c>
      <c r="O198" s="0" t="n">
        <v>6</v>
      </c>
      <c r="P198" s="0" t="n">
        <v>64.7</v>
      </c>
      <c r="Q198" s="3" t="n">
        <f aca="false">IF($C198="Control",$P198,"")</f>
        <v>64.7</v>
      </c>
      <c r="R198" s="0" t="str">
        <f aca="false">IF($C198="Treatment",$P198,"")</f>
        <v/>
      </c>
      <c r="S198" s="3" t="n">
        <f aca="false">IF(AND($C198="Control",$K198=1),$L198,"")</f>
        <v>1052.8</v>
      </c>
      <c r="T198" s="0" t="str">
        <f aca="false">IF(AND($C198="Treatment",$K198=1),$L198,"")</f>
        <v/>
      </c>
    </row>
    <row r="199" customFormat="false" ht="15" hidden="false" customHeight="false" outlineLevel="0" collapsed="false">
      <c r="A199" s="0" t="s">
        <v>229</v>
      </c>
      <c r="B199" s="2" t="n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P199" s="0" t="n">
        <v>65.9</v>
      </c>
      <c r="Q199" s="3" t="n">
        <f aca="false">IF($C199="Control",$P199,"")</f>
        <v>65.9</v>
      </c>
      <c r="R199" s="0" t="str">
        <f aca="false">IF($C199="Treatment",$P199,"")</f>
        <v/>
      </c>
      <c r="S199" s="0" t="str">
        <f aca="false">IF(AND($C199="Control",$K199=1),$L199,"")</f>
        <v/>
      </c>
      <c r="T199" s="0" t="str">
        <f aca="false">IF(AND($C199="Treatment",$K199=1),$L199,"")</f>
        <v/>
      </c>
    </row>
    <row r="200" customFormat="false" ht="15" hidden="false" customHeight="false" outlineLevel="0" collapsed="false">
      <c r="A200" s="0" t="s">
        <v>230</v>
      </c>
      <c r="B200" s="2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P200" s="0" t="n">
        <v>64</v>
      </c>
      <c r="Q200" s="3" t="n">
        <f aca="false">IF($C200="Control",$P200,"")</f>
        <v>64</v>
      </c>
      <c r="R200" s="0" t="str">
        <f aca="false">IF($C200="Treatment",$P200,"")</f>
        <v/>
      </c>
      <c r="S200" s="0" t="str">
        <f aca="false">IF(AND($C200="Control",$K200=1),$L200,"")</f>
        <v/>
      </c>
      <c r="T200" s="0" t="str">
        <f aca="false">IF(AND($C200="Treatment",$K200=1),$L200,"")</f>
        <v/>
      </c>
    </row>
    <row r="201" customFormat="false" ht="15" hidden="false" customHeight="false" outlineLevel="0" collapsed="false">
      <c r="A201" s="0" t="s">
        <v>231</v>
      </c>
      <c r="B201" s="2" t="n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P201" s="0" t="n">
        <v>57.2</v>
      </c>
      <c r="Q201" s="3" t="n">
        <f aca="false">IF($C201="Control",$P201,"")</f>
        <v>57.2</v>
      </c>
      <c r="R201" s="0" t="str">
        <f aca="false">IF($C201="Treatment",$P201,"")</f>
        <v/>
      </c>
      <c r="S201" s="0" t="str">
        <f aca="false">IF(AND($C201="Control",$K201=1),$L201,"")</f>
        <v/>
      </c>
      <c r="T201" s="0" t="str">
        <f aca="false">IF(AND($C201="Treatment",$K201=1),$L201,"")</f>
        <v/>
      </c>
    </row>
    <row r="202" customFormat="false" ht="15" hidden="false" customHeight="false" outlineLevel="0" collapsed="false">
      <c r="A202" s="0" t="s">
        <v>232</v>
      </c>
      <c r="B202" s="2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P202" s="0" t="n">
        <v>80.5</v>
      </c>
      <c r="Q202" s="3" t="n">
        <f aca="false">IF($C202="Control",$P202,"")</f>
        <v>80.5</v>
      </c>
      <c r="R202" s="0" t="str">
        <f aca="false">IF($C202="Treatment",$P202,"")</f>
        <v/>
      </c>
      <c r="S202" s="0" t="str">
        <f aca="false">IF(AND($C202="Control",$K202=1),$L202,"")</f>
        <v/>
      </c>
      <c r="T202" s="0" t="str">
        <f aca="false">IF(AND($C202="Treatment",$K202=1),$L202,"")</f>
        <v/>
      </c>
    </row>
    <row r="203" customFormat="false" ht="15" hidden="false" customHeight="false" outlineLevel="0" collapsed="false">
      <c r="A203" s="0" t="s">
        <v>233</v>
      </c>
      <c r="B203" s="2" t="n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P203" s="0" t="n">
        <v>53.9</v>
      </c>
      <c r="Q203" s="3" t="n">
        <f aca="false">IF($C203="Control",$P203,"")</f>
        <v>53.9</v>
      </c>
      <c r="R203" s="0" t="str">
        <f aca="false">IF($C203="Treatment",$P203,"")</f>
        <v/>
      </c>
      <c r="S203" s="0" t="str">
        <f aca="false">IF(AND($C203="Control",$K203=1),$L203,"")</f>
        <v/>
      </c>
      <c r="T203" s="0" t="str">
        <f aca="false">IF(AND($C203="Treatment",$K203=1),$L203,"")</f>
        <v/>
      </c>
    </row>
    <row r="204" customFormat="false" ht="15" hidden="false" customHeight="false" outlineLevel="0" collapsed="false">
      <c r="A204" s="0" t="s">
        <v>234</v>
      </c>
      <c r="B204" s="2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P204" s="0" t="n">
        <v>77.5</v>
      </c>
      <c r="Q204" s="3" t="n">
        <f aca="false">IF($C204="Control",$P204,"")</f>
        <v>77.5</v>
      </c>
      <c r="R204" s="0" t="str">
        <f aca="false">IF($C204="Treatment",$P204,"")</f>
        <v/>
      </c>
      <c r="S204" s="0" t="str">
        <f aca="false">IF(AND($C204="Control",$K204=1),$L204,"")</f>
        <v/>
      </c>
      <c r="T204" s="0" t="str">
        <f aca="false">IF(AND($C204="Treatment",$K204=1),$L204,"")</f>
        <v/>
      </c>
    </row>
    <row r="205" customFormat="false" ht="15" hidden="false" customHeight="false" outlineLevel="0" collapsed="false">
      <c r="A205" s="0" t="s">
        <v>235</v>
      </c>
      <c r="B205" s="2" t="n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P205" s="0" t="n">
        <v>84.2</v>
      </c>
      <c r="Q205" s="3" t="n">
        <f aca="false">IF($C205="Control",$P205,"")</f>
        <v>84.2</v>
      </c>
      <c r="R205" s="0" t="str">
        <f aca="false">IF($C205="Treatment",$P205,"")</f>
        <v/>
      </c>
      <c r="S205" s="0" t="str">
        <f aca="false">IF(AND($C205="Control",$K205=1),$L205,"")</f>
        <v/>
      </c>
      <c r="T205" s="0" t="str">
        <f aca="false">IF(AND($C205="Treatment",$K205=1),$L205,"")</f>
        <v/>
      </c>
    </row>
    <row r="206" customFormat="false" ht="15" hidden="false" customHeight="false" outlineLevel="0" collapsed="false">
      <c r="A206" s="0" t="s">
        <v>236</v>
      </c>
      <c r="B206" s="2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P206" s="0" t="n">
        <v>54.9</v>
      </c>
      <c r="Q206" s="3" t="n">
        <f aca="false">IF($C206="Control",$P206,"")</f>
        <v>54.9</v>
      </c>
      <c r="R206" s="0" t="str">
        <f aca="false">IF($C206="Treatment",$P206,"")</f>
        <v/>
      </c>
      <c r="S206" s="0" t="str">
        <f aca="false">IF(AND($C206="Control",$K206=1),$L206,"")</f>
        <v/>
      </c>
      <c r="T206" s="0" t="str">
        <f aca="false">IF(AND($C206="Treatment",$K206=1),$L206,"")</f>
        <v/>
      </c>
    </row>
    <row r="207" customFormat="false" ht="15" hidden="false" customHeight="false" outlineLevel="0" collapsed="false">
      <c r="A207" s="0" t="s">
        <v>237</v>
      </c>
      <c r="B207" s="2" t="n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P207" s="0" t="n">
        <v>69.3</v>
      </c>
      <c r="Q207" s="3" t="n">
        <f aca="false">IF($C207="Control",$P207,"")</f>
        <v>69.3</v>
      </c>
      <c r="R207" s="0" t="str">
        <f aca="false">IF($C207="Treatment",$P207,"")</f>
        <v/>
      </c>
      <c r="S207" s="0" t="str">
        <f aca="false">IF(AND($C207="Control",$K207=1),$L207,"")</f>
        <v/>
      </c>
      <c r="T207" s="0" t="str">
        <f aca="false">IF(AND($C207="Treatment",$K207=1),$L207,"")</f>
        <v/>
      </c>
    </row>
    <row r="208" customFormat="false" ht="15" hidden="false" customHeight="false" outlineLevel="0" collapsed="false">
      <c r="A208" s="0" t="s">
        <v>238</v>
      </c>
      <c r="B208" s="2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2</v>
      </c>
      <c r="N208" s="0" t="n">
        <v>0</v>
      </c>
      <c r="P208" s="0" t="n">
        <v>42.3</v>
      </c>
      <c r="Q208" s="3" t="n">
        <f aca="false">IF($C208="Control",$P208,"")</f>
        <v>42.3</v>
      </c>
      <c r="R208" s="0" t="str">
        <f aca="false">IF($C208="Treatment",$P208,"")</f>
        <v/>
      </c>
      <c r="S208" s="0" t="str">
        <f aca="false">IF(AND($C208="Control",$K208=1),$L208,"")</f>
        <v/>
      </c>
      <c r="T208" s="0" t="str">
        <f aca="false">IF(AND($C208="Treatment",$K208=1),$L208,"")</f>
        <v/>
      </c>
    </row>
    <row r="209" customFormat="false" ht="15" hidden="false" customHeight="false" outlineLevel="0" collapsed="false">
      <c r="A209" s="0" t="s">
        <v>239</v>
      </c>
      <c r="B209" s="2" t="n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P209" s="0" t="n">
        <v>69.6</v>
      </c>
      <c r="Q209" s="3" t="n">
        <f aca="false">IF($C209="Control",$P209,"")</f>
        <v>69.6</v>
      </c>
      <c r="R209" s="0" t="str">
        <f aca="false">IF($C209="Treatment",$P209,"")</f>
        <v/>
      </c>
      <c r="S209" s="0" t="str">
        <f aca="false">IF(AND($C209="Control",$K209=1),$L209,"")</f>
        <v/>
      </c>
      <c r="T209" s="0" t="str">
        <f aca="false">IF(AND($C209="Treatment",$K209=1),$L209,"")</f>
        <v/>
      </c>
    </row>
    <row r="210" customFormat="false" ht="15" hidden="false" customHeight="false" outlineLevel="0" collapsed="false">
      <c r="A210" s="0" t="s">
        <v>240</v>
      </c>
      <c r="B210" s="2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P210" s="0" t="n">
        <v>40.7</v>
      </c>
      <c r="Q210" s="3" t="n">
        <f aca="false">IF($C210="Control",$P210,"")</f>
        <v>40.7</v>
      </c>
      <c r="R210" s="0" t="str">
        <f aca="false">IF($C210="Treatment",$P210,"")</f>
        <v/>
      </c>
      <c r="S210" s="0" t="str">
        <f aca="false">IF(AND($C210="Control",$K210=1),$L210,"")</f>
        <v/>
      </c>
      <c r="T210" s="0" t="str">
        <f aca="false">IF(AND($C210="Treatment",$K210=1),$L210,"")</f>
        <v/>
      </c>
    </row>
    <row r="211" customFormat="false" ht="15" hidden="false" customHeight="false" outlineLevel="0" collapsed="false">
      <c r="A211" s="0" t="s">
        <v>241</v>
      </c>
      <c r="B211" s="2" t="n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P211" s="0" t="n">
        <v>54</v>
      </c>
      <c r="Q211" s="3" t="n">
        <f aca="false">IF($C211="Control",$P211,"")</f>
        <v>54</v>
      </c>
      <c r="R211" s="0" t="str">
        <f aca="false">IF($C211="Treatment",$P211,"")</f>
        <v/>
      </c>
      <c r="S211" s="0" t="str">
        <f aca="false">IF(AND($C211="Control",$K211=1),$L211,"")</f>
        <v/>
      </c>
      <c r="T211" s="0" t="str">
        <f aca="false">IF(AND($C211="Treatment",$K211=1),$L211,"")</f>
        <v/>
      </c>
    </row>
    <row r="212" customFormat="false" ht="15" hidden="false" customHeight="false" outlineLevel="0" collapsed="false">
      <c r="A212" s="0" t="s">
        <v>242</v>
      </c>
      <c r="B212" s="2" t="n">
        <v>45739</v>
      </c>
      <c r="C212" s="3" t="s">
        <v>17</v>
      </c>
      <c r="D212" s="3" t="s">
        <v>28</v>
      </c>
      <c r="E212" s="3" t="s">
        <v>1470</v>
      </c>
      <c r="F212" s="3" t="s">
        <v>39</v>
      </c>
      <c r="G212" s="3" t="s">
        <v>26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553.37</v>
      </c>
      <c r="M212" s="0" t="n">
        <v>0</v>
      </c>
      <c r="N212" s="0" t="n">
        <v>0</v>
      </c>
      <c r="O212" s="0" t="n">
        <v>5</v>
      </c>
      <c r="P212" s="0" t="n">
        <v>46.3</v>
      </c>
      <c r="Q212" s="3" t="n">
        <f aca="false">IF($C212="Control",$P212,"")</f>
        <v>46.3</v>
      </c>
      <c r="R212" s="0" t="str">
        <f aca="false">IF($C212="Treatment",$P212,"")</f>
        <v/>
      </c>
      <c r="S212" s="3" t="n">
        <f aca="false">IF(AND($C212="Control",$K212=1),$L212,"")</f>
        <v>553.37</v>
      </c>
      <c r="T212" s="0" t="str">
        <f aca="false">IF(AND($C212="Treatment",$K212=1),$L212,"")</f>
        <v/>
      </c>
    </row>
    <row r="213" customFormat="false" ht="15" hidden="false" customHeight="false" outlineLevel="0" collapsed="false">
      <c r="A213" s="0" t="s">
        <v>243</v>
      </c>
      <c r="B213" s="2" t="n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P213" s="0" t="n">
        <v>64.2</v>
      </c>
      <c r="Q213" s="3" t="n">
        <f aca="false">IF($C213="Control",$P213,"")</f>
        <v>64.2</v>
      </c>
      <c r="R213" s="0" t="str">
        <f aca="false">IF($C213="Treatment",$P213,"")</f>
        <v/>
      </c>
      <c r="S213" s="0" t="str">
        <f aca="false">IF(AND($C213="Control",$K213=1),$L213,"")</f>
        <v/>
      </c>
      <c r="T213" s="0" t="str">
        <f aca="false">IF(AND($C213="Treatment",$K213=1),$L213,"")</f>
        <v/>
      </c>
    </row>
    <row r="214" customFormat="false" ht="15" hidden="false" customHeight="false" outlineLevel="0" collapsed="false">
      <c r="A214" s="0" t="s">
        <v>244</v>
      </c>
      <c r="B214" s="2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P214" s="0" t="n">
        <v>75.2</v>
      </c>
      <c r="Q214" s="3" t="n">
        <f aca="false">IF($C214="Control",$P214,"")</f>
        <v>75.2</v>
      </c>
      <c r="R214" s="0" t="str">
        <f aca="false">IF($C214="Treatment",$P214,"")</f>
        <v/>
      </c>
      <c r="S214" s="0" t="str">
        <f aca="false">IF(AND($C214="Control",$K214=1),$L214,"")</f>
        <v/>
      </c>
      <c r="T214" s="0" t="str">
        <f aca="false">IF(AND($C214="Treatment",$K214=1),$L214,"")</f>
        <v/>
      </c>
    </row>
    <row r="215" customFormat="false" ht="15" hidden="false" customHeight="false" outlineLevel="0" collapsed="false">
      <c r="A215" s="0" t="s">
        <v>245</v>
      </c>
      <c r="B215" s="2" t="n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P215" s="0" t="n">
        <v>60.9</v>
      </c>
      <c r="Q215" s="3" t="n">
        <f aca="false">IF($C215="Control",$P215,"")</f>
        <v>60.9</v>
      </c>
      <c r="R215" s="0" t="str">
        <f aca="false">IF($C215="Treatment",$P215,"")</f>
        <v/>
      </c>
      <c r="S215" s="0" t="str">
        <f aca="false">IF(AND($C215="Control",$K215=1),$L215,"")</f>
        <v/>
      </c>
      <c r="T215" s="0" t="str">
        <f aca="false">IF(AND($C215="Treatment",$K215=1),$L215,"")</f>
        <v/>
      </c>
    </row>
    <row r="216" customFormat="false" ht="15" hidden="false" customHeight="false" outlineLevel="0" collapsed="false">
      <c r="A216" s="0" t="s">
        <v>246</v>
      </c>
      <c r="B216" s="2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P216" s="0" t="n">
        <v>62.1</v>
      </c>
      <c r="Q216" s="3" t="n">
        <f aca="false">IF($C216="Control",$P216,"")</f>
        <v>62.1</v>
      </c>
      <c r="R216" s="0" t="str">
        <f aca="false">IF($C216="Treatment",$P216,"")</f>
        <v/>
      </c>
      <c r="S216" s="0" t="str">
        <f aca="false">IF(AND($C216="Control",$K216=1),$L216,"")</f>
        <v/>
      </c>
      <c r="T216" s="0" t="str">
        <f aca="false">IF(AND($C216="Treatment",$K216=1),$L216,"")</f>
        <v/>
      </c>
    </row>
    <row r="217" customFormat="false" ht="15" hidden="false" customHeight="false" outlineLevel="0" collapsed="false">
      <c r="A217" s="0" t="s">
        <v>247</v>
      </c>
      <c r="B217" s="2" t="n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P217" s="0" t="n">
        <v>45.4</v>
      </c>
      <c r="Q217" s="3" t="n">
        <f aca="false">IF($C217="Control",$P217,"")</f>
        <v>45.4</v>
      </c>
      <c r="R217" s="0" t="str">
        <f aca="false">IF($C217="Treatment",$P217,"")</f>
        <v/>
      </c>
      <c r="S217" s="0" t="str">
        <f aca="false">IF(AND($C217="Control",$K217=1),$L217,"")</f>
        <v/>
      </c>
      <c r="T217" s="0" t="str">
        <f aca="false">IF(AND($C217="Treatment",$K217=1),$L217,"")</f>
        <v/>
      </c>
    </row>
    <row r="218" customFormat="false" ht="15" hidden="false" customHeight="false" outlineLevel="0" collapsed="false">
      <c r="A218" s="0" t="s">
        <v>248</v>
      </c>
      <c r="B218" s="2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P218" s="0" t="n">
        <v>53.3</v>
      </c>
      <c r="Q218" s="3" t="n">
        <f aca="false">IF($C218="Control",$P218,"")</f>
        <v>53.3</v>
      </c>
      <c r="R218" s="0" t="str">
        <f aca="false">IF($C218="Treatment",$P218,"")</f>
        <v/>
      </c>
      <c r="S218" s="0" t="str">
        <f aca="false">IF(AND($C218="Control",$K218=1),$L218,"")</f>
        <v/>
      </c>
      <c r="T218" s="0" t="str">
        <f aca="false">IF(AND($C218="Treatment",$K218=1),$L218,"")</f>
        <v/>
      </c>
    </row>
    <row r="219" customFormat="false" ht="15" hidden="false" customHeight="false" outlineLevel="0" collapsed="false">
      <c r="A219" s="0" t="s">
        <v>249</v>
      </c>
      <c r="B219" s="2" t="n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Q219" s="3" t="n">
        <f aca="false">IF($C219="Control",$P219,"")</f>
        <v>0</v>
      </c>
      <c r="R219" s="0" t="str">
        <f aca="false">IF($C219="Treatment",$P219,"")</f>
        <v/>
      </c>
      <c r="S219" s="0" t="str">
        <f aca="false">IF(AND($C219="Control",$K219=1),$L219,"")</f>
        <v/>
      </c>
      <c r="T219" s="0" t="str">
        <f aca="false">IF(AND($C219="Treatment",$K219=1),$L219,"")</f>
        <v/>
      </c>
    </row>
    <row r="220" customFormat="false" ht="15" hidden="false" customHeight="false" outlineLevel="0" collapsed="false">
      <c r="A220" s="0" t="s">
        <v>250</v>
      </c>
      <c r="B220" s="2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P220" s="0" t="n">
        <v>38.2</v>
      </c>
      <c r="Q220" s="3" t="n">
        <f aca="false">IF($C220="Control",$P220,"")</f>
        <v>38.2</v>
      </c>
      <c r="R220" s="0" t="str">
        <f aca="false">IF($C220="Treatment",$P220,"")</f>
        <v/>
      </c>
      <c r="S220" s="0" t="str">
        <f aca="false">IF(AND($C220="Control",$K220=1),$L220,"")</f>
        <v/>
      </c>
      <c r="T220" s="0" t="str">
        <f aca="false">IF(AND($C220="Treatment",$K220=1),$L220,"")</f>
        <v/>
      </c>
    </row>
    <row r="221" customFormat="false" ht="15" hidden="false" customHeight="false" outlineLevel="0" collapsed="false">
      <c r="A221" s="0" t="s">
        <v>251</v>
      </c>
      <c r="B221" s="2" t="n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3</v>
      </c>
      <c r="N221" s="0" t="n">
        <v>0</v>
      </c>
      <c r="P221" s="0" t="n">
        <v>59</v>
      </c>
      <c r="Q221" s="3" t="n">
        <f aca="false">IF($C221="Control",$P221,"")</f>
        <v>59</v>
      </c>
      <c r="R221" s="0" t="str">
        <f aca="false">IF($C221="Treatment",$P221,"")</f>
        <v/>
      </c>
      <c r="S221" s="0" t="str">
        <f aca="false">IF(AND($C221="Control",$K221=1),$L221,"")</f>
        <v/>
      </c>
      <c r="T221" s="0" t="str">
        <f aca="false">IF(AND($C221="Treatment",$K221=1),$L221,"")</f>
        <v/>
      </c>
    </row>
    <row r="222" customFormat="false" ht="15" hidden="false" customHeight="false" outlineLevel="0" collapsed="false">
      <c r="A222" s="0" t="s">
        <v>252</v>
      </c>
      <c r="B222" s="2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P222" s="0" t="n">
        <v>80.6</v>
      </c>
      <c r="Q222" s="3" t="n">
        <f aca="false">IF($C222="Control",$P222,"")</f>
        <v>80.6</v>
      </c>
      <c r="R222" s="0" t="str">
        <f aca="false">IF($C222="Treatment",$P222,"")</f>
        <v/>
      </c>
      <c r="S222" s="0" t="str">
        <f aca="false">IF(AND($C222="Control",$K222=1),$L222,"")</f>
        <v/>
      </c>
      <c r="T222" s="0" t="str">
        <f aca="false">IF(AND($C222="Treatment",$K222=1),$L222,"")</f>
        <v/>
      </c>
    </row>
    <row r="223" customFormat="false" ht="15" hidden="false" customHeight="false" outlineLevel="0" collapsed="false">
      <c r="A223" s="0" t="s">
        <v>253</v>
      </c>
      <c r="B223" s="2" t="n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P223" s="0" t="n">
        <v>67</v>
      </c>
      <c r="Q223" s="3" t="n">
        <f aca="false">IF($C223="Control",$P223,"")</f>
        <v>67</v>
      </c>
      <c r="R223" s="0" t="str">
        <f aca="false">IF($C223="Treatment",$P223,"")</f>
        <v/>
      </c>
      <c r="S223" s="0" t="str">
        <f aca="false">IF(AND($C223="Control",$K223=1),$L223,"")</f>
        <v/>
      </c>
      <c r="T223" s="0" t="str">
        <f aca="false">IF(AND($C223="Treatment",$K223=1),$L223,"")</f>
        <v/>
      </c>
    </row>
    <row r="224" customFormat="false" ht="15" hidden="false" customHeight="false" outlineLevel="0" collapsed="false">
      <c r="A224" s="0" t="s">
        <v>254</v>
      </c>
      <c r="B224" s="2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P224" s="0" t="n">
        <v>72.1</v>
      </c>
      <c r="Q224" s="3" t="n">
        <f aca="false">IF($C224="Control",$P224,"")</f>
        <v>72.1</v>
      </c>
      <c r="R224" s="0" t="str">
        <f aca="false">IF($C224="Treatment",$P224,"")</f>
        <v/>
      </c>
      <c r="S224" s="0" t="str">
        <f aca="false">IF(AND($C224="Control",$K224=1),$L224,"")</f>
        <v/>
      </c>
      <c r="T224" s="0" t="str">
        <f aca="false">IF(AND($C224="Treatment",$K224=1),$L224,"")</f>
        <v/>
      </c>
    </row>
    <row r="225" customFormat="false" ht="15" hidden="false" customHeight="false" outlineLevel="0" collapsed="false">
      <c r="A225" s="0" t="s">
        <v>255</v>
      </c>
      <c r="B225" s="2" t="n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P225" s="0" t="n">
        <v>74.1</v>
      </c>
      <c r="Q225" s="3" t="n">
        <f aca="false">IF($C225="Control",$P225,"")</f>
        <v>74.1</v>
      </c>
      <c r="R225" s="0" t="str">
        <f aca="false">IF($C225="Treatment",$P225,"")</f>
        <v/>
      </c>
      <c r="S225" s="0" t="str">
        <f aca="false">IF(AND($C225="Control",$K225=1),$L225,"")</f>
        <v/>
      </c>
      <c r="T225" s="0" t="str">
        <f aca="false">IF(AND($C225="Treatment",$K225=1),$L225,"")</f>
        <v/>
      </c>
    </row>
    <row r="226" customFormat="false" ht="15" hidden="false" customHeight="false" outlineLevel="0" collapsed="false">
      <c r="A226" s="0" t="s">
        <v>256</v>
      </c>
      <c r="B226" s="2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P226" s="0" t="n">
        <v>84.8</v>
      </c>
      <c r="Q226" s="3" t="n">
        <f aca="false">IF($C226="Control",$P226,"")</f>
        <v>84.8</v>
      </c>
      <c r="R226" s="0" t="str">
        <f aca="false">IF($C226="Treatment",$P226,"")</f>
        <v/>
      </c>
      <c r="S226" s="0" t="str">
        <f aca="false">IF(AND($C226="Control",$K226=1),$L226,"")</f>
        <v/>
      </c>
      <c r="T226" s="0" t="str">
        <f aca="false">IF(AND($C226="Treatment",$K226=1),$L226,"")</f>
        <v/>
      </c>
    </row>
    <row r="227" customFormat="false" ht="15" hidden="false" customHeight="false" outlineLevel="0" collapsed="false">
      <c r="A227" s="0" t="s">
        <v>257</v>
      </c>
      <c r="B227" s="2" t="n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P227" s="0" t="n">
        <v>33</v>
      </c>
      <c r="Q227" s="3" t="n">
        <f aca="false">IF($C227="Control",$P227,"")</f>
        <v>33</v>
      </c>
      <c r="R227" s="0" t="str">
        <f aca="false">IF($C227="Treatment",$P227,"")</f>
        <v/>
      </c>
      <c r="S227" s="0" t="str">
        <f aca="false">IF(AND($C227="Control",$K227=1),$L227,"")</f>
        <v/>
      </c>
      <c r="T227" s="0" t="str">
        <f aca="false">IF(AND($C227="Treatment",$K227=1),$L227,"")</f>
        <v/>
      </c>
    </row>
    <row r="228" customFormat="false" ht="15" hidden="false" customHeight="false" outlineLevel="0" collapsed="false">
      <c r="A228" s="0" t="s">
        <v>258</v>
      </c>
      <c r="B228" s="2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P228" s="0" t="n">
        <v>52.5</v>
      </c>
      <c r="Q228" s="3" t="n">
        <f aca="false">IF($C228="Control",$P228,"")</f>
        <v>52.5</v>
      </c>
      <c r="R228" s="0" t="str">
        <f aca="false">IF($C228="Treatment",$P228,"")</f>
        <v/>
      </c>
      <c r="S228" s="0" t="str">
        <f aca="false">IF(AND($C228="Control",$K228=1),$L228,"")</f>
        <v/>
      </c>
      <c r="T228" s="0" t="str">
        <f aca="false">IF(AND($C228="Treatment",$K228=1),$L228,"")</f>
        <v/>
      </c>
    </row>
    <row r="229" customFormat="false" ht="15" hidden="false" customHeight="false" outlineLevel="0" collapsed="false">
      <c r="A229" s="0" t="s">
        <v>259</v>
      </c>
      <c r="B229" s="2" t="n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P229" s="0" t="n">
        <v>66.9</v>
      </c>
      <c r="Q229" s="3" t="n">
        <f aca="false">IF($C229="Control",$P229,"")</f>
        <v>66.9</v>
      </c>
      <c r="R229" s="0" t="str">
        <f aca="false">IF($C229="Treatment",$P229,"")</f>
        <v/>
      </c>
      <c r="S229" s="0" t="str">
        <f aca="false">IF(AND($C229="Control",$K229=1),$L229,"")</f>
        <v/>
      </c>
      <c r="T229" s="0" t="str">
        <f aca="false">IF(AND($C229="Treatment",$K229=1),$L229,"")</f>
        <v/>
      </c>
    </row>
    <row r="230" customFormat="false" ht="15" hidden="false" customHeight="false" outlineLevel="0" collapsed="false">
      <c r="A230" s="0" t="s">
        <v>260</v>
      </c>
      <c r="B230" s="2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0" t="n">
        <v>1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P230" s="0" t="n">
        <v>32.7</v>
      </c>
      <c r="Q230" s="3" t="n">
        <f aca="false">IF($C230="Control",$P230,"")</f>
        <v>32.7</v>
      </c>
      <c r="R230" s="0" t="str">
        <f aca="false">IF($C230="Treatment",$P230,"")</f>
        <v/>
      </c>
      <c r="S230" s="0" t="str">
        <f aca="false">IF(AND($C230="Control",$K230=1),$L230,"")</f>
        <v/>
      </c>
      <c r="T230" s="0" t="str">
        <f aca="false">IF(AND($C230="Treatment",$K230=1),$L230,"")</f>
        <v/>
      </c>
    </row>
    <row r="231" customFormat="false" ht="15" hidden="false" customHeight="false" outlineLevel="0" collapsed="false">
      <c r="A231" s="0" t="s">
        <v>261</v>
      </c>
      <c r="B231" s="2" t="n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P231" s="0" t="n">
        <v>70.6</v>
      </c>
      <c r="Q231" s="3" t="n">
        <f aca="false">IF($C231="Control",$P231,"")</f>
        <v>70.6</v>
      </c>
      <c r="R231" s="0" t="str">
        <f aca="false">IF($C231="Treatment",$P231,"")</f>
        <v/>
      </c>
      <c r="S231" s="0" t="str">
        <f aca="false">IF(AND($C231="Control",$K231=1),$L231,"")</f>
        <v/>
      </c>
      <c r="T231" s="0" t="str">
        <f aca="false">IF(AND($C231="Treatment",$K231=1),$L231,"")</f>
        <v/>
      </c>
    </row>
    <row r="232" customFormat="false" ht="15" hidden="false" customHeight="false" outlineLevel="0" collapsed="false">
      <c r="A232" s="0" t="s">
        <v>262</v>
      </c>
      <c r="B232" s="2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P232" s="0" t="n">
        <v>69.4</v>
      </c>
      <c r="Q232" s="3" t="n">
        <f aca="false">IF($C232="Control",$P232,"")</f>
        <v>69.4</v>
      </c>
      <c r="R232" s="0" t="str">
        <f aca="false">IF($C232="Treatment",$P232,"")</f>
        <v/>
      </c>
      <c r="S232" s="0" t="str">
        <f aca="false">IF(AND($C232="Control",$K232=1),$L232,"")</f>
        <v/>
      </c>
      <c r="T232" s="0" t="str">
        <f aca="false">IF(AND($C232="Treatment",$K232=1),$L232,"")</f>
        <v/>
      </c>
    </row>
    <row r="233" customFormat="false" ht="15" hidden="false" customHeight="false" outlineLevel="0" collapsed="false">
      <c r="A233" s="0" t="s">
        <v>263</v>
      </c>
      <c r="B233" s="2" t="n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P233" s="0" t="n">
        <v>56.1</v>
      </c>
      <c r="Q233" s="3" t="n">
        <f aca="false">IF($C233="Control",$P233,"")</f>
        <v>56.1</v>
      </c>
      <c r="R233" s="0" t="str">
        <f aca="false">IF($C233="Treatment",$P233,"")</f>
        <v/>
      </c>
      <c r="S233" s="0" t="str">
        <f aca="false">IF(AND($C233="Control",$K233=1),$L233,"")</f>
        <v/>
      </c>
      <c r="T233" s="0" t="str">
        <f aca="false">IF(AND($C233="Treatment",$K233=1),$L233,"")</f>
        <v/>
      </c>
    </row>
    <row r="234" customFormat="false" ht="15" hidden="false" customHeight="false" outlineLevel="0" collapsed="false">
      <c r="A234" s="0" t="s">
        <v>264</v>
      </c>
      <c r="B234" s="2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P234" s="0" t="n">
        <v>55.8</v>
      </c>
      <c r="Q234" s="3" t="n">
        <f aca="false">IF($C234="Control",$P234,"")</f>
        <v>55.8</v>
      </c>
      <c r="R234" s="0" t="str">
        <f aca="false">IF($C234="Treatment",$P234,"")</f>
        <v/>
      </c>
      <c r="S234" s="0" t="str">
        <f aca="false">IF(AND($C234="Control",$K234=1),$L234,"")</f>
        <v/>
      </c>
      <c r="T234" s="0" t="str">
        <f aca="false">IF(AND($C234="Treatment",$K234=1),$L234,"")</f>
        <v/>
      </c>
    </row>
    <row r="235" customFormat="false" ht="15" hidden="false" customHeight="false" outlineLevel="0" collapsed="false">
      <c r="A235" s="0" t="s">
        <v>265</v>
      </c>
      <c r="B235" s="2" t="n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P235" s="0" t="n">
        <v>49.3</v>
      </c>
      <c r="Q235" s="3" t="n">
        <f aca="false">IF($C235="Control",$P235,"")</f>
        <v>49.3</v>
      </c>
      <c r="R235" s="0" t="str">
        <f aca="false">IF($C235="Treatment",$P235,"")</f>
        <v/>
      </c>
      <c r="S235" s="0" t="str">
        <f aca="false">IF(AND($C235="Control",$K235=1),$L235,"")</f>
        <v/>
      </c>
      <c r="T235" s="0" t="str">
        <f aca="false">IF(AND($C235="Treatment",$K235=1),$L235,"")</f>
        <v/>
      </c>
    </row>
    <row r="236" customFormat="false" ht="15" hidden="false" customHeight="false" outlineLevel="0" collapsed="false">
      <c r="A236" s="0" t="s">
        <v>266</v>
      </c>
      <c r="B236" s="2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P236" s="0" t="n">
        <v>71.8</v>
      </c>
      <c r="Q236" s="3" t="n">
        <f aca="false">IF($C236="Control",$P236,"")</f>
        <v>71.8</v>
      </c>
      <c r="R236" s="0" t="str">
        <f aca="false">IF($C236="Treatment",$P236,"")</f>
        <v/>
      </c>
      <c r="S236" s="0" t="str">
        <f aca="false">IF(AND($C236="Control",$K236=1),$L236,"")</f>
        <v/>
      </c>
      <c r="T236" s="0" t="str">
        <f aca="false">IF(AND($C236="Treatment",$K236=1),$L236,"")</f>
        <v/>
      </c>
    </row>
    <row r="237" customFormat="false" ht="15" hidden="false" customHeight="false" outlineLevel="0" collapsed="false">
      <c r="A237" s="0" t="s">
        <v>267</v>
      </c>
      <c r="B237" s="2" t="n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3</v>
      </c>
      <c r="N237" s="0" t="n">
        <v>0</v>
      </c>
      <c r="P237" s="0" t="n">
        <v>39.7</v>
      </c>
      <c r="Q237" s="3" t="n">
        <f aca="false">IF($C237="Control",$P237,"")</f>
        <v>39.7</v>
      </c>
      <c r="R237" s="0" t="str">
        <f aca="false">IF($C237="Treatment",$P237,"")</f>
        <v/>
      </c>
      <c r="S237" s="0" t="str">
        <f aca="false">IF(AND($C237="Control",$K237=1),$L237,"")</f>
        <v/>
      </c>
      <c r="T237" s="0" t="str">
        <f aca="false">IF(AND($C237="Treatment",$K237=1),$L237,"")</f>
        <v/>
      </c>
    </row>
    <row r="238" customFormat="false" ht="15" hidden="false" customHeight="false" outlineLevel="0" collapsed="false">
      <c r="A238" s="0" t="s">
        <v>268</v>
      </c>
      <c r="B238" s="2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P238" s="0" t="n">
        <v>45.4</v>
      </c>
      <c r="Q238" s="3" t="n">
        <f aca="false">IF($C238="Control",$P238,"")</f>
        <v>45.4</v>
      </c>
      <c r="R238" s="0" t="str">
        <f aca="false">IF($C238="Treatment",$P238,"")</f>
        <v/>
      </c>
      <c r="S238" s="0" t="str">
        <f aca="false">IF(AND($C238="Control",$K238=1),$L238,"")</f>
        <v/>
      </c>
      <c r="T238" s="0" t="str">
        <f aca="false">IF(AND($C238="Treatment",$K238=1),$L238,"")</f>
        <v/>
      </c>
    </row>
    <row r="239" customFormat="false" ht="15" hidden="false" customHeight="false" outlineLevel="0" collapsed="false">
      <c r="A239" s="0" t="s">
        <v>269</v>
      </c>
      <c r="B239" s="2" t="n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P239" s="0" t="n">
        <v>69.9</v>
      </c>
      <c r="Q239" s="3" t="n">
        <f aca="false">IF($C239="Control",$P239,"")</f>
        <v>69.9</v>
      </c>
      <c r="R239" s="0" t="str">
        <f aca="false">IF($C239="Treatment",$P239,"")</f>
        <v/>
      </c>
      <c r="S239" s="0" t="str">
        <f aca="false">IF(AND($C239="Control",$K239=1),$L239,"")</f>
        <v/>
      </c>
      <c r="T239" s="0" t="str">
        <f aca="false">IF(AND($C239="Treatment",$K239=1),$L239,"")</f>
        <v/>
      </c>
    </row>
    <row r="240" customFormat="false" ht="15" hidden="false" customHeight="false" outlineLevel="0" collapsed="false">
      <c r="A240" s="0" t="s">
        <v>270</v>
      </c>
      <c r="B240" s="2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P240" s="0" t="n">
        <v>56.1</v>
      </c>
      <c r="Q240" s="3" t="n">
        <f aca="false">IF($C240="Control",$P240,"")</f>
        <v>56.1</v>
      </c>
      <c r="R240" s="0" t="str">
        <f aca="false">IF($C240="Treatment",$P240,"")</f>
        <v/>
      </c>
      <c r="S240" s="0" t="str">
        <f aca="false">IF(AND($C240="Control",$K240=1),$L240,"")</f>
        <v/>
      </c>
      <c r="T240" s="0" t="str">
        <f aca="false">IF(AND($C240="Treatment",$K240=1),$L240,"")</f>
        <v/>
      </c>
    </row>
    <row r="241" customFormat="false" ht="15" hidden="false" customHeight="false" outlineLevel="0" collapsed="false">
      <c r="A241" s="0" t="s">
        <v>271</v>
      </c>
      <c r="B241" s="2" t="n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P241" s="0" t="n">
        <v>45.9</v>
      </c>
      <c r="Q241" s="3" t="n">
        <f aca="false">IF($C241="Control",$P241,"")</f>
        <v>45.9</v>
      </c>
      <c r="R241" s="0" t="str">
        <f aca="false">IF($C241="Treatment",$P241,"")</f>
        <v/>
      </c>
      <c r="S241" s="0" t="str">
        <f aca="false">IF(AND($C241="Control",$K241=1),$L241,"")</f>
        <v/>
      </c>
      <c r="T241" s="0" t="str">
        <f aca="false">IF(AND($C241="Treatment",$K241=1),$L241,"")</f>
        <v/>
      </c>
    </row>
    <row r="242" customFormat="false" ht="15" hidden="false" customHeight="false" outlineLevel="0" collapsed="false">
      <c r="A242" s="0" t="s">
        <v>272</v>
      </c>
      <c r="B242" s="2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P242" s="0" t="n">
        <v>65.8</v>
      </c>
      <c r="Q242" s="3" t="n">
        <f aca="false">IF($C242="Control",$P242,"")</f>
        <v>65.8</v>
      </c>
      <c r="R242" s="0" t="str">
        <f aca="false">IF($C242="Treatment",$P242,"")</f>
        <v/>
      </c>
      <c r="S242" s="0" t="str">
        <f aca="false">IF(AND($C242="Control",$K242=1),$L242,"")</f>
        <v/>
      </c>
      <c r="T242" s="0" t="str">
        <f aca="false">IF(AND($C242="Treatment",$K242=1),$L242,"")</f>
        <v/>
      </c>
    </row>
    <row r="243" customFormat="false" ht="15" hidden="false" customHeight="false" outlineLevel="0" collapsed="false">
      <c r="A243" s="0" t="s">
        <v>273</v>
      </c>
      <c r="B243" s="2" t="n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P243" s="0" t="n">
        <v>48.2</v>
      </c>
      <c r="Q243" s="3" t="n">
        <f aca="false">IF($C243="Control",$P243,"")</f>
        <v>48.2</v>
      </c>
      <c r="R243" s="0" t="str">
        <f aca="false">IF($C243="Treatment",$P243,"")</f>
        <v/>
      </c>
      <c r="S243" s="0" t="str">
        <f aca="false">IF(AND($C243="Control",$K243=1),$L243,"")</f>
        <v/>
      </c>
      <c r="T243" s="0" t="str">
        <f aca="false">IF(AND($C243="Treatment",$K243=1),$L243,"")</f>
        <v/>
      </c>
    </row>
    <row r="244" customFormat="false" ht="15" hidden="false" customHeight="false" outlineLevel="0" collapsed="false">
      <c r="A244" s="0" t="s">
        <v>274</v>
      </c>
      <c r="B244" s="2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P244" s="0" t="n">
        <v>81.1</v>
      </c>
      <c r="Q244" s="3" t="n">
        <f aca="false">IF($C244="Control",$P244,"")</f>
        <v>81.1</v>
      </c>
      <c r="R244" s="0" t="str">
        <f aca="false">IF($C244="Treatment",$P244,"")</f>
        <v/>
      </c>
      <c r="S244" s="0" t="str">
        <f aca="false">IF(AND($C244="Control",$K244=1),$L244,"")</f>
        <v/>
      </c>
      <c r="T244" s="0" t="str">
        <f aca="false">IF(AND($C244="Treatment",$K244=1),$L244,"")</f>
        <v/>
      </c>
    </row>
    <row r="245" customFormat="false" ht="15" hidden="false" customHeight="false" outlineLevel="0" collapsed="false">
      <c r="A245" s="0" t="s">
        <v>275</v>
      </c>
      <c r="B245" s="2" t="n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P245" s="0" t="n">
        <v>53.2</v>
      </c>
      <c r="Q245" s="3" t="n">
        <f aca="false">IF($C245="Control",$P245,"")</f>
        <v>53.2</v>
      </c>
      <c r="R245" s="0" t="str">
        <f aca="false">IF($C245="Treatment",$P245,"")</f>
        <v/>
      </c>
      <c r="S245" s="0" t="str">
        <f aca="false">IF(AND($C245="Control",$K245=1),$L245,"")</f>
        <v/>
      </c>
      <c r="T245" s="0" t="str">
        <f aca="false">IF(AND($C245="Treatment",$K245=1),$L245,"")</f>
        <v/>
      </c>
    </row>
    <row r="246" customFormat="false" ht="15" hidden="false" customHeight="false" outlineLevel="0" collapsed="false">
      <c r="A246" s="0" t="s">
        <v>276</v>
      </c>
      <c r="B246" s="2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P246" s="0" t="n">
        <v>57.7</v>
      </c>
      <c r="Q246" s="3" t="n">
        <f aca="false">IF($C246="Control",$P246,"")</f>
        <v>57.7</v>
      </c>
      <c r="R246" s="0" t="str">
        <f aca="false">IF($C246="Treatment",$P246,"")</f>
        <v/>
      </c>
      <c r="S246" s="0" t="str">
        <f aca="false">IF(AND($C246="Control",$K246=1),$L246,"")</f>
        <v/>
      </c>
      <c r="T246" s="0" t="str">
        <f aca="false">IF(AND($C246="Treatment",$K246=1),$L246,"")</f>
        <v/>
      </c>
    </row>
    <row r="247" customFormat="false" ht="15" hidden="false" customHeight="false" outlineLevel="0" collapsed="false">
      <c r="A247" s="0" t="s">
        <v>277</v>
      </c>
      <c r="B247" s="2" t="n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P247" s="0" t="n">
        <v>78.9</v>
      </c>
      <c r="Q247" s="3" t="n">
        <f aca="false">IF($C247="Control",$P247,"")</f>
        <v>78.9</v>
      </c>
      <c r="R247" s="0" t="str">
        <f aca="false">IF($C247="Treatment",$P247,"")</f>
        <v/>
      </c>
      <c r="S247" s="0" t="str">
        <f aca="false">IF(AND($C247="Control",$K247=1),$L247,"")</f>
        <v/>
      </c>
      <c r="T247" s="0" t="str">
        <f aca="false">IF(AND($C247="Treatment",$K247=1),$L247,"")</f>
        <v/>
      </c>
    </row>
    <row r="248" customFormat="false" ht="15" hidden="false" customHeight="false" outlineLevel="0" collapsed="false">
      <c r="A248" s="0" t="s">
        <v>278</v>
      </c>
      <c r="B248" s="2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P248" s="0" t="n">
        <v>55.7</v>
      </c>
      <c r="Q248" s="3" t="n">
        <f aca="false">IF($C248="Control",$P248,"")</f>
        <v>55.7</v>
      </c>
      <c r="R248" s="0" t="str">
        <f aca="false">IF($C248="Treatment",$P248,"")</f>
        <v/>
      </c>
      <c r="S248" s="0" t="str">
        <f aca="false">IF(AND($C248="Control",$K248=1),$L248,"")</f>
        <v/>
      </c>
      <c r="T248" s="0" t="str">
        <f aca="false">IF(AND($C248="Treatment",$K248=1),$L248,"")</f>
        <v/>
      </c>
    </row>
    <row r="249" customFormat="false" ht="15" hidden="false" customHeight="false" outlineLevel="0" collapsed="false">
      <c r="A249" s="0" t="s">
        <v>279</v>
      </c>
      <c r="B249" s="2" t="n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P249" s="0" t="n">
        <v>52.3</v>
      </c>
      <c r="Q249" s="3" t="n">
        <f aca="false">IF($C249="Control",$P249,"")</f>
        <v>52.3</v>
      </c>
      <c r="R249" s="0" t="str">
        <f aca="false">IF($C249="Treatment",$P249,"")</f>
        <v/>
      </c>
      <c r="S249" s="0" t="str">
        <f aca="false">IF(AND($C249="Control",$K249=1),$L249,"")</f>
        <v/>
      </c>
      <c r="T249" s="0" t="str">
        <f aca="false">IF(AND($C249="Treatment",$K249=1),$L249,"")</f>
        <v/>
      </c>
    </row>
    <row r="250" customFormat="false" ht="15" hidden="false" customHeight="false" outlineLevel="0" collapsed="false">
      <c r="A250" s="0" t="s">
        <v>280</v>
      </c>
      <c r="B250" s="2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P250" s="0" t="n">
        <v>51.5</v>
      </c>
      <c r="Q250" s="3" t="n">
        <f aca="false">IF($C250="Control",$P250,"")</f>
        <v>51.5</v>
      </c>
      <c r="R250" s="0" t="str">
        <f aca="false">IF($C250="Treatment",$P250,"")</f>
        <v/>
      </c>
      <c r="S250" s="0" t="str">
        <f aca="false">IF(AND($C250="Control",$K250=1),$L250,"")</f>
        <v/>
      </c>
      <c r="T250" s="0" t="str">
        <f aca="false">IF(AND($C250="Treatment",$K250=1),$L250,"")</f>
        <v/>
      </c>
    </row>
    <row r="251" customFormat="false" ht="15" hidden="false" customHeight="false" outlineLevel="0" collapsed="false">
      <c r="A251" s="0" t="s">
        <v>281</v>
      </c>
      <c r="B251" s="2" t="n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P251" s="0" t="n">
        <v>70.8</v>
      </c>
      <c r="Q251" s="3" t="n">
        <f aca="false">IF($C251="Control",$P251,"")</f>
        <v>70.8</v>
      </c>
      <c r="R251" s="0" t="str">
        <f aca="false">IF($C251="Treatment",$P251,"")</f>
        <v/>
      </c>
      <c r="S251" s="0" t="str">
        <f aca="false">IF(AND($C251="Control",$K251=1),$L251,"")</f>
        <v/>
      </c>
      <c r="T251" s="0" t="str">
        <f aca="false">IF(AND($C251="Treatment",$K251=1),$L251,"")</f>
        <v/>
      </c>
    </row>
    <row r="252" customFormat="false" ht="15" hidden="false" customHeight="false" outlineLevel="0" collapsed="false">
      <c r="A252" s="0" t="s">
        <v>282</v>
      </c>
      <c r="B252" s="2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1250.78</v>
      </c>
      <c r="M252" s="0" t="n">
        <v>0</v>
      </c>
      <c r="N252" s="0" t="n">
        <v>0</v>
      </c>
      <c r="O252" s="0" t="n">
        <v>10</v>
      </c>
      <c r="P252" s="0" t="n">
        <v>39</v>
      </c>
      <c r="Q252" s="3" t="n">
        <f aca="false">IF($C252="Control",$P252,"")</f>
        <v>39</v>
      </c>
      <c r="R252" s="0" t="str">
        <f aca="false">IF($C252="Treatment",$P252,"")</f>
        <v/>
      </c>
      <c r="S252" s="3" t="n">
        <f aca="false">IF(AND($C252="Control",$K252=1),$L252,"")</f>
        <v>1250.78</v>
      </c>
      <c r="T252" s="0" t="str">
        <f aca="false">IF(AND($C252="Treatment",$K252=1),$L252,"")</f>
        <v/>
      </c>
    </row>
    <row r="253" customFormat="false" ht="15" hidden="false" customHeight="false" outlineLevel="0" collapsed="false">
      <c r="A253" s="0" t="s">
        <v>283</v>
      </c>
      <c r="B253" s="2" t="n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P253" s="0" t="n">
        <v>61.6</v>
      </c>
      <c r="Q253" s="3" t="n">
        <f aca="false">IF($C253="Control",$P253,"")</f>
        <v>61.6</v>
      </c>
      <c r="R253" s="0" t="str">
        <f aca="false">IF($C253="Treatment",$P253,"")</f>
        <v/>
      </c>
      <c r="S253" s="0" t="str">
        <f aca="false">IF(AND($C253="Control",$K253=1),$L253,"")</f>
        <v/>
      </c>
      <c r="T253" s="0" t="str">
        <f aca="false">IF(AND($C253="Treatment",$K253=1),$L253,"")</f>
        <v/>
      </c>
    </row>
    <row r="254" customFormat="false" ht="15" hidden="false" customHeight="false" outlineLevel="0" collapsed="false">
      <c r="A254" s="0" t="s">
        <v>284</v>
      </c>
      <c r="B254" s="2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0" t="n">
        <v>1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P254" s="0" t="n">
        <v>46.8</v>
      </c>
      <c r="Q254" s="3" t="n">
        <f aca="false">IF($C254="Control",$P254,"")</f>
        <v>46.8</v>
      </c>
      <c r="R254" s="0" t="str">
        <f aca="false">IF($C254="Treatment",$P254,"")</f>
        <v/>
      </c>
      <c r="S254" s="0" t="str">
        <f aca="false">IF(AND($C254="Control",$K254=1),$L254,"")</f>
        <v/>
      </c>
      <c r="T254" s="0" t="str">
        <f aca="false">IF(AND($C254="Treatment",$K254=1),$L254,"")</f>
        <v/>
      </c>
    </row>
    <row r="255" customFormat="false" ht="15" hidden="false" customHeight="false" outlineLevel="0" collapsed="false">
      <c r="A255" s="0" t="s">
        <v>285</v>
      </c>
      <c r="B255" s="2" t="n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P255" s="0" t="n">
        <v>58.5</v>
      </c>
      <c r="Q255" s="3" t="n">
        <f aca="false">IF($C255="Control",$P255,"")</f>
        <v>58.5</v>
      </c>
      <c r="R255" s="0" t="str">
        <f aca="false">IF($C255="Treatment",$P255,"")</f>
        <v/>
      </c>
      <c r="S255" s="0" t="str">
        <f aca="false">IF(AND($C255="Control",$K255=1),$L255,"")</f>
        <v/>
      </c>
      <c r="T255" s="0" t="str">
        <f aca="false">IF(AND($C255="Treatment",$K255=1),$L255,"")</f>
        <v/>
      </c>
    </row>
    <row r="256" customFormat="false" ht="15" hidden="false" customHeight="false" outlineLevel="0" collapsed="false">
      <c r="A256" s="0" t="s">
        <v>286</v>
      </c>
      <c r="B256" s="2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P256" s="0" t="n">
        <v>70.9</v>
      </c>
      <c r="Q256" s="3" t="n">
        <f aca="false">IF($C256="Control",$P256,"")</f>
        <v>70.9</v>
      </c>
      <c r="R256" s="0" t="str">
        <f aca="false">IF($C256="Treatment",$P256,"")</f>
        <v/>
      </c>
      <c r="S256" s="0" t="str">
        <f aca="false">IF(AND($C256="Control",$K256=1),$L256,"")</f>
        <v/>
      </c>
      <c r="T256" s="0" t="str">
        <f aca="false">IF(AND($C256="Treatment",$K256=1),$L256,"")</f>
        <v/>
      </c>
    </row>
    <row r="257" customFormat="false" ht="15" hidden="false" customHeight="false" outlineLevel="0" collapsed="false">
      <c r="A257" s="0" t="s">
        <v>287</v>
      </c>
      <c r="B257" s="2" t="n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P257" s="0" t="n">
        <v>48.4</v>
      </c>
      <c r="Q257" s="3" t="n">
        <f aca="false">IF($C257="Control",$P257,"")</f>
        <v>48.4</v>
      </c>
      <c r="R257" s="0" t="str">
        <f aca="false">IF($C257="Treatment",$P257,"")</f>
        <v/>
      </c>
      <c r="S257" s="0" t="str">
        <f aca="false">IF(AND($C257="Control",$K257=1),$L257,"")</f>
        <v/>
      </c>
      <c r="T257" s="0" t="str">
        <f aca="false">IF(AND($C257="Treatment",$K257=1),$L257,"")</f>
        <v/>
      </c>
    </row>
    <row r="258" customFormat="false" ht="15" hidden="false" customHeight="false" outlineLevel="0" collapsed="false">
      <c r="A258" s="0" t="s">
        <v>288</v>
      </c>
      <c r="B258" s="2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P258" s="0" t="n">
        <v>58</v>
      </c>
      <c r="Q258" s="3" t="n">
        <f aca="false">IF($C258="Control",$P258,"")</f>
        <v>58</v>
      </c>
      <c r="R258" s="0" t="str">
        <f aca="false">IF($C258="Treatment",$P258,"")</f>
        <v/>
      </c>
      <c r="S258" s="0" t="str">
        <f aca="false">IF(AND($C258="Control",$K258=1),$L258,"")</f>
        <v/>
      </c>
      <c r="T258" s="0" t="str">
        <f aca="false">IF(AND($C258="Treatment",$K258=1),$L258,"")</f>
        <v/>
      </c>
    </row>
    <row r="259" customFormat="false" ht="15" hidden="false" customHeight="false" outlineLevel="0" collapsed="false">
      <c r="A259" s="0" t="s">
        <v>289</v>
      </c>
      <c r="B259" s="2" t="n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P259" s="0" t="n">
        <v>61.6</v>
      </c>
      <c r="Q259" s="3" t="n">
        <f aca="false">IF($C259="Control",$P259,"")</f>
        <v>61.6</v>
      </c>
      <c r="R259" s="0" t="str">
        <f aca="false">IF($C259="Treatment",$P259,"")</f>
        <v/>
      </c>
      <c r="S259" s="0" t="str">
        <f aca="false">IF(AND($C259="Control",$K259=1),$L259,"")</f>
        <v/>
      </c>
      <c r="T259" s="0" t="str">
        <f aca="false">IF(AND($C259="Treatment",$K259=1),$L259,"")</f>
        <v/>
      </c>
    </row>
    <row r="260" customFormat="false" ht="15" hidden="false" customHeight="false" outlineLevel="0" collapsed="false">
      <c r="A260" s="0" t="s">
        <v>290</v>
      </c>
      <c r="B260" s="2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P260" s="0" t="n">
        <v>43.2</v>
      </c>
      <c r="Q260" s="3" t="n">
        <f aca="false">IF($C260="Control",$P260,"")</f>
        <v>43.2</v>
      </c>
      <c r="R260" s="0" t="str">
        <f aca="false">IF($C260="Treatment",$P260,"")</f>
        <v/>
      </c>
      <c r="S260" s="0" t="str">
        <f aca="false">IF(AND($C260="Control",$K260=1),$L260,"")</f>
        <v/>
      </c>
      <c r="T260" s="0" t="str">
        <f aca="false">IF(AND($C260="Treatment",$K260=1),$L260,"")</f>
        <v/>
      </c>
    </row>
    <row r="261" customFormat="false" ht="15" hidden="false" customHeight="false" outlineLevel="0" collapsed="false">
      <c r="A261" s="0" t="s">
        <v>291</v>
      </c>
      <c r="B261" s="2" t="n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P261" s="0" t="n">
        <v>53.3</v>
      </c>
      <c r="Q261" s="3" t="n">
        <f aca="false">IF($C261="Control",$P261,"")</f>
        <v>53.3</v>
      </c>
      <c r="R261" s="0" t="str">
        <f aca="false">IF($C261="Treatment",$P261,"")</f>
        <v/>
      </c>
      <c r="S261" s="0" t="str">
        <f aca="false">IF(AND($C261="Control",$K261=1),$L261,"")</f>
        <v/>
      </c>
      <c r="T261" s="0" t="str">
        <f aca="false">IF(AND($C261="Treatment",$K261=1),$L261,"")</f>
        <v/>
      </c>
    </row>
    <row r="262" customFormat="false" ht="15" hidden="false" customHeight="false" outlineLevel="0" collapsed="false">
      <c r="A262" s="0" t="s">
        <v>292</v>
      </c>
      <c r="B262" s="2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P262" s="0" t="n">
        <v>33.9</v>
      </c>
      <c r="Q262" s="3" t="n">
        <f aca="false">IF($C262="Control",$P262,"")</f>
        <v>33.9</v>
      </c>
      <c r="R262" s="0" t="str">
        <f aca="false">IF($C262="Treatment",$P262,"")</f>
        <v/>
      </c>
      <c r="S262" s="0" t="str">
        <f aca="false">IF(AND($C262="Control",$K262=1),$L262,"")</f>
        <v/>
      </c>
      <c r="T262" s="0" t="str">
        <f aca="false">IF(AND($C262="Treatment",$K262=1),$L262,"")</f>
        <v/>
      </c>
    </row>
    <row r="263" customFormat="false" ht="15" hidden="false" customHeight="false" outlineLevel="0" collapsed="false">
      <c r="A263" s="0" t="s">
        <v>293</v>
      </c>
      <c r="B263" s="2" t="n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P263" s="0" t="n">
        <v>35.4</v>
      </c>
      <c r="Q263" s="3" t="n">
        <f aca="false">IF($C263="Control",$P263,"")</f>
        <v>35.4</v>
      </c>
      <c r="R263" s="0" t="str">
        <f aca="false">IF($C263="Treatment",$P263,"")</f>
        <v/>
      </c>
      <c r="S263" s="0" t="str">
        <f aca="false">IF(AND($C263="Control",$K263=1),$L263,"")</f>
        <v/>
      </c>
      <c r="T263" s="0" t="str">
        <f aca="false">IF(AND($C263="Treatment",$K263=1),$L263,"")</f>
        <v/>
      </c>
    </row>
    <row r="264" customFormat="false" ht="15" hidden="false" customHeight="false" outlineLevel="0" collapsed="false">
      <c r="A264" s="0" t="s">
        <v>294</v>
      </c>
      <c r="B264" s="2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P264" s="0" t="n">
        <v>45</v>
      </c>
      <c r="Q264" s="3" t="n">
        <f aca="false">IF($C264="Control",$P264,"")</f>
        <v>45</v>
      </c>
      <c r="R264" s="0" t="str">
        <f aca="false">IF($C264="Treatment",$P264,"")</f>
        <v/>
      </c>
      <c r="S264" s="0" t="str">
        <f aca="false">IF(AND($C264="Control",$K264=1),$L264,"")</f>
        <v/>
      </c>
      <c r="T264" s="0" t="str">
        <f aca="false">IF(AND($C264="Treatment",$K264=1),$L264,"")</f>
        <v/>
      </c>
    </row>
    <row r="265" customFormat="false" ht="15" hidden="false" customHeight="false" outlineLevel="0" collapsed="false">
      <c r="A265" s="0" t="s">
        <v>295</v>
      </c>
      <c r="B265" s="2" t="n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P265" s="0" t="n">
        <v>86.5</v>
      </c>
      <c r="Q265" s="3" t="n">
        <f aca="false">IF($C265="Control",$P265,"")</f>
        <v>86.5</v>
      </c>
      <c r="R265" s="0" t="str">
        <f aca="false">IF($C265="Treatment",$P265,"")</f>
        <v/>
      </c>
      <c r="S265" s="0" t="str">
        <f aca="false">IF(AND($C265="Control",$K265=1),$L265,"")</f>
        <v/>
      </c>
      <c r="T265" s="0" t="str">
        <f aca="false">IF(AND($C265="Treatment",$K265=1),$L265,"")</f>
        <v/>
      </c>
    </row>
    <row r="266" customFormat="false" ht="15" hidden="false" customHeight="false" outlineLevel="0" collapsed="false">
      <c r="A266" s="0" t="s">
        <v>296</v>
      </c>
      <c r="B266" s="2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P266" s="0" t="n">
        <v>58.1</v>
      </c>
      <c r="Q266" s="3" t="n">
        <f aca="false">IF($C266="Control",$P266,"")</f>
        <v>58.1</v>
      </c>
      <c r="R266" s="0" t="str">
        <f aca="false">IF($C266="Treatment",$P266,"")</f>
        <v/>
      </c>
      <c r="S266" s="0" t="str">
        <f aca="false">IF(AND($C266="Control",$K266=1),$L266,"")</f>
        <v/>
      </c>
      <c r="T266" s="0" t="str">
        <f aca="false">IF(AND($C266="Treatment",$K266=1),$L266,"")</f>
        <v/>
      </c>
    </row>
    <row r="267" customFormat="false" ht="15" hidden="false" customHeight="false" outlineLevel="0" collapsed="false">
      <c r="A267" s="0" t="s">
        <v>297</v>
      </c>
      <c r="B267" s="2" t="n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P267" s="0" t="n">
        <v>36.1</v>
      </c>
      <c r="Q267" s="3" t="n">
        <f aca="false">IF($C267="Control",$P267,"")</f>
        <v>36.1</v>
      </c>
      <c r="R267" s="0" t="str">
        <f aca="false">IF($C267="Treatment",$P267,"")</f>
        <v/>
      </c>
      <c r="S267" s="0" t="str">
        <f aca="false">IF(AND($C267="Control",$K267=1),$L267,"")</f>
        <v/>
      </c>
      <c r="T267" s="0" t="str">
        <f aca="false">IF(AND($C267="Treatment",$K267=1),$L267,"")</f>
        <v/>
      </c>
    </row>
    <row r="268" customFormat="false" ht="15" hidden="false" customHeight="false" outlineLevel="0" collapsed="false">
      <c r="A268" s="0" t="s">
        <v>298</v>
      </c>
      <c r="B268" s="2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P268" s="0" t="n">
        <v>62.8</v>
      </c>
      <c r="Q268" s="3" t="n">
        <f aca="false">IF($C268="Control",$P268,"")</f>
        <v>62.8</v>
      </c>
      <c r="R268" s="0" t="str">
        <f aca="false">IF($C268="Treatment",$P268,"")</f>
        <v/>
      </c>
      <c r="S268" s="0" t="str">
        <f aca="false">IF(AND($C268="Control",$K268=1),$L268,"")</f>
        <v/>
      </c>
      <c r="T268" s="0" t="str">
        <f aca="false">IF(AND($C268="Treatment",$K268=1),$L268,"")</f>
        <v/>
      </c>
    </row>
    <row r="269" customFormat="false" ht="15" hidden="false" customHeight="false" outlineLevel="0" collapsed="false">
      <c r="A269" s="0" t="s">
        <v>299</v>
      </c>
      <c r="B269" s="2" t="n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P269" s="0" t="n">
        <v>54.2</v>
      </c>
      <c r="Q269" s="3" t="n">
        <f aca="false">IF($C269="Control",$P269,"")</f>
        <v>54.2</v>
      </c>
      <c r="R269" s="0" t="str">
        <f aca="false">IF($C269="Treatment",$P269,"")</f>
        <v/>
      </c>
      <c r="S269" s="0" t="str">
        <f aca="false">IF(AND($C269="Control",$K269=1),$L269,"")</f>
        <v/>
      </c>
      <c r="T269" s="0" t="str">
        <f aca="false">IF(AND($C269="Treatment",$K269=1),$L269,"")</f>
        <v/>
      </c>
    </row>
    <row r="270" customFormat="false" ht="15" hidden="false" customHeight="false" outlineLevel="0" collapsed="false">
      <c r="A270" s="0" t="s">
        <v>300</v>
      </c>
      <c r="B270" s="2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P270" s="0" t="n">
        <v>50</v>
      </c>
      <c r="Q270" s="3" t="n">
        <f aca="false">IF($C270="Control",$P270,"")</f>
        <v>50</v>
      </c>
      <c r="R270" s="0" t="str">
        <f aca="false">IF($C270="Treatment",$P270,"")</f>
        <v/>
      </c>
      <c r="S270" s="0" t="str">
        <f aca="false">IF(AND($C270="Control",$K270=1),$L270,"")</f>
        <v/>
      </c>
      <c r="T270" s="0" t="str">
        <f aca="false">IF(AND($C270="Treatment",$K270=1),$L270,"")</f>
        <v/>
      </c>
    </row>
    <row r="271" customFormat="false" ht="15" hidden="false" customHeight="false" outlineLevel="0" collapsed="false">
      <c r="A271" s="0" t="s">
        <v>301</v>
      </c>
      <c r="B271" s="2" t="n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P271" s="0" t="n">
        <v>62</v>
      </c>
      <c r="Q271" s="3" t="n">
        <f aca="false">IF($C271="Control",$P271,"")</f>
        <v>62</v>
      </c>
      <c r="R271" s="0" t="str">
        <f aca="false">IF($C271="Treatment",$P271,"")</f>
        <v/>
      </c>
      <c r="S271" s="0" t="str">
        <f aca="false">IF(AND($C271="Control",$K271=1),$L271,"")</f>
        <v/>
      </c>
      <c r="T271" s="0" t="str">
        <f aca="false">IF(AND($C271="Treatment",$K271=1),$L271,"")</f>
        <v/>
      </c>
    </row>
    <row r="272" customFormat="false" ht="15" hidden="false" customHeight="false" outlineLevel="0" collapsed="false">
      <c r="A272" s="0" t="s">
        <v>302</v>
      </c>
      <c r="B272" s="2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P272" s="0" t="n">
        <v>29.3</v>
      </c>
      <c r="Q272" s="3" t="n">
        <f aca="false">IF($C272="Control",$P272,"")</f>
        <v>29.3</v>
      </c>
      <c r="R272" s="0" t="str">
        <f aca="false">IF($C272="Treatment",$P272,"")</f>
        <v/>
      </c>
      <c r="S272" s="0" t="str">
        <f aca="false">IF(AND($C272="Control",$K272=1),$L272,"")</f>
        <v/>
      </c>
      <c r="T272" s="0" t="str">
        <f aca="false">IF(AND($C272="Treatment",$K272=1),$L272,"")</f>
        <v/>
      </c>
    </row>
    <row r="273" customFormat="false" ht="15" hidden="false" customHeight="false" outlineLevel="0" collapsed="false">
      <c r="A273" s="0" t="s">
        <v>303</v>
      </c>
      <c r="B273" s="2" t="n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P273" s="0" t="n">
        <v>67.9</v>
      </c>
      <c r="Q273" s="3" t="n">
        <f aca="false">IF($C273="Control",$P273,"")</f>
        <v>67.9</v>
      </c>
      <c r="R273" s="0" t="str">
        <f aca="false">IF($C273="Treatment",$P273,"")</f>
        <v/>
      </c>
      <c r="S273" s="0" t="str">
        <f aca="false">IF(AND($C273="Control",$K273=1),$L273,"")</f>
        <v/>
      </c>
      <c r="T273" s="0" t="str">
        <f aca="false">IF(AND($C273="Treatment",$K273=1),$L273,"")</f>
        <v/>
      </c>
    </row>
    <row r="274" customFormat="false" ht="15" hidden="false" customHeight="false" outlineLevel="0" collapsed="false">
      <c r="A274" s="0" t="s">
        <v>304</v>
      </c>
      <c r="B274" s="2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0" t="n">
        <v>1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P274" s="0" t="n">
        <v>67.6</v>
      </c>
      <c r="Q274" s="3" t="n">
        <f aca="false">IF($C274="Control",$P274,"")</f>
        <v>67.6</v>
      </c>
      <c r="R274" s="0" t="str">
        <f aca="false">IF($C274="Treatment",$P274,"")</f>
        <v/>
      </c>
      <c r="S274" s="0" t="str">
        <f aca="false">IF(AND($C274="Control",$K274=1),$L274,"")</f>
        <v/>
      </c>
      <c r="T274" s="0" t="str">
        <f aca="false">IF(AND($C274="Treatment",$K274=1),$L274,"")</f>
        <v/>
      </c>
    </row>
    <row r="275" customFormat="false" ht="15" hidden="false" customHeight="false" outlineLevel="0" collapsed="false">
      <c r="A275" s="0" t="s">
        <v>305</v>
      </c>
      <c r="B275" s="2" t="n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P275" s="0" t="n">
        <v>67.4</v>
      </c>
      <c r="Q275" s="3" t="n">
        <f aca="false">IF($C275="Control",$P275,"")</f>
        <v>67.4</v>
      </c>
      <c r="R275" s="0" t="str">
        <f aca="false">IF($C275="Treatment",$P275,"")</f>
        <v/>
      </c>
      <c r="S275" s="0" t="str">
        <f aca="false">IF(AND($C275="Control",$K275=1),$L275,"")</f>
        <v/>
      </c>
      <c r="T275" s="0" t="str">
        <f aca="false">IF(AND($C275="Treatment",$K275=1),$L275,"")</f>
        <v/>
      </c>
    </row>
    <row r="276" customFormat="false" ht="15" hidden="false" customHeight="false" outlineLevel="0" collapsed="false">
      <c r="A276" s="0" t="s">
        <v>306</v>
      </c>
      <c r="B276" s="2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2</v>
      </c>
      <c r="N276" s="0" t="n">
        <v>0</v>
      </c>
      <c r="P276" s="0" t="n">
        <v>53</v>
      </c>
      <c r="Q276" s="3" t="n">
        <f aca="false">IF($C276="Control",$P276,"")</f>
        <v>53</v>
      </c>
      <c r="R276" s="0" t="str">
        <f aca="false">IF($C276="Treatment",$P276,"")</f>
        <v/>
      </c>
      <c r="S276" s="0" t="str">
        <f aca="false">IF(AND($C276="Control",$K276=1),$L276,"")</f>
        <v/>
      </c>
      <c r="T276" s="0" t="str">
        <f aca="false">IF(AND($C276="Treatment",$K276=1),$L276,"")</f>
        <v/>
      </c>
    </row>
    <row r="277" customFormat="false" ht="15" hidden="false" customHeight="false" outlineLevel="0" collapsed="false">
      <c r="A277" s="0" t="s">
        <v>307</v>
      </c>
      <c r="B277" s="2" t="n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P277" s="0" t="n">
        <v>65.5</v>
      </c>
      <c r="Q277" s="3" t="n">
        <f aca="false">IF($C277="Control",$P277,"")</f>
        <v>65.5</v>
      </c>
      <c r="R277" s="0" t="str">
        <f aca="false">IF($C277="Treatment",$P277,"")</f>
        <v/>
      </c>
      <c r="S277" s="0" t="str">
        <f aca="false">IF(AND($C277="Control",$K277=1),$L277,"")</f>
        <v/>
      </c>
      <c r="T277" s="0" t="str">
        <f aca="false">IF(AND($C277="Treatment",$K277=1),$L277,"")</f>
        <v/>
      </c>
    </row>
    <row r="278" customFormat="false" ht="15" hidden="false" customHeight="false" outlineLevel="0" collapsed="false">
      <c r="A278" s="0" t="s">
        <v>308</v>
      </c>
      <c r="B278" s="2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P278" s="0" t="n">
        <v>49.6</v>
      </c>
      <c r="Q278" s="3" t="n">
        <f aca="false">IF($C278="Control",$P278,"")</f>
        <v>49.6</v>
      </c>
      <c r="R278" s="0" t="str">
        <f aca="false">IF($C278="Treatment",$P278,"")</f>
        <v/>
      </c>
      <c r="S278" s="0" t="str">
        <f aca="false">IF(AND($C278="Control",$K278=1),$L278,"")</f>
        <v/>
      </c>
      <c r="T278" s="0" t="str">
        <f aca="false">IF(AND($C278="Treatment",$K278=1),$L278,"")</f>
        <v/>
      </c>
    </row>
    <row r="279" customFormat="false" ht="15" hidden="false" customHeight="false" outlineLevel="0" collapsed="false">
      <c r="A279" s="0" t="s">
        <v>309</v>
      </c>
      <c r="B279" s="2" t="n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P279" s="0" t="n">
        <v>74.5</v>
      </c>
      <c r="Q279" s="3" t="n">
        <f aca="false">IF($C279="Control",$P279,"")</f>
        <v>74.5</v>
      </c>
      <c r="R279" s="0" t="str">
        <f aca="false">IF($C279="Treatment",$P279,"")</f>
        <v/>
      </c>
      <c r="S279" s="0" t="str">
        <f aca="false">IF(AND($C279="Control",$K279=1),$L279,"")</f>
        <v/>
      </c>
      <c r="T279" s="0" t="str">
        <f aca="false">IF(AND($C279="Treatment",$K279=1),$L279,"")</f>
        <v/>
      </c>
    </row>
    <row r="280" customFormat="false" ht="15" hidden="false" customHeight="false" outlineLevel="0" collapsed="false">
      <c r="A280" s="0" t="s">
        <v>310</v>
      </c>
      <c r="B280" s="2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P280" s="0" t="n">
        <v>46.9</v>
      </c>
      <c r="Q280" s="3" t="n">
        <f aca="false">IF($C280="Control",$P280,"")</f>
        <v>46.9</v>
      </c>
      <c r="R280" s="0" t="str">
        <f aca="false">IF($C280="Treatment",$P280,"")</f>
        <v/>
      </c>
      <c r="S280" s="0" t="str">
        <f aca="false">IF(AND($C280="Control",$K280=1),$L280,"")</f>
        <v/>
      </c>
      <c r="T280" s="0" t="str">
        <f aca="false">IF(AND($C280="Treatment",$K280=1),$L280,"")</f>
        <v/>
      </c>
    </row>
    <row r="281" customFormat="false" ht="15" hidden="false" customHeight="false" outlineLevel="0" collapsed="false">
      <c r="A281" s="0" t="s">
        <v>311</v>
      </c>
      <c r="B281" s="2" t="n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P281" s="0" t="n">
        <v>87.1</v>
      </c>
      <c r="Q281" s="3" t="n">
        <f aca="false">IF($C281="Control",$P281,"")</f>
        <v>87.1</v>
      </c>
      <c r="R281" s="0" t="str">
        <f aca="false">IF($C281="Treatment",$P281,"")</f>
        <v/>
      </c>
      <c r="S281" s="0" t="str">
        <f aca="false">IF(AND($C281="Control",$K281=1),$L281,"")</f>
        <v/>
      </c>
      <c r="T281" s="0" t="str">
        <f aca="false">IF(AND($C281="Treatment",$K281=1),$L281,"")</f>
        <v/>
      </c>
    </row>
    <row r="282" customFormat="false" ht="15" hidden="false" customHeight="false" outlineLevel="0" collapsed="false">
      <c r="A282" s="0" t="s">
        <v>312</v>
      </c>
      <c r="B282" s="2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P282" s="0" t="n">
        <v>56</v>
      </c>
      <c r="Q282" s="3" t="n">
        <f aca="false">IF($C282="Control",$P282,"")</f>
        <v>56</v>
      </c>
      <c r="R282" s="0" t="str">
        <f aca="false">IF($C282="Treatment",$P282,"")</f>
        <v/>
      </c>
      <c r="S282" s="0" t="str">
        <f aca="false">IF(AND($C282="Control",$K282=1),$L282,"")</f>
        <v/>
      </c>
      <c r="T282" s="0" t="str">
        <f aca="false">IF(AND($C282="Treatment",$K282=1),$L282,"")</f>
        <v/>
      </c>
    </row>
    <row r="283" customFormat="false" ht="15" hidden="false" customHeight="false" outlineLevel="0" collapsed="false">
      <c r="A283" s="0" t="s">
        <v>313</v>
      </c>
      <c r="B283" s="2" t="n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P283" s="0" t="n">
        <v>61.7</v>
      </c>
      <c r="Q283" s="3" t="n">
        <f aca="false">IF($C283="Control",$P283,"")</f>
        <v>61.7</v>
      </c>
      <c r="R283" s="0" t="str">
        <f aca="false">IF($C283="Treatment",$P283,"")</f>
        <v/>
      </c>
      <c r="S283" s="0" t="str">
        <f aca="false">IF(AND($C283="Control",$K283=1),$L283,"")</f>
        <v/>
      </c>
      <c r="T283" s="0" t="str">
        <f aca="false">IF(AND($C283="Treatment",$K283=1),$L283,"")</f>
        <v/>
      </c>
    </row>
    <row r="284" customFormat="false" ht="15" hidden="false" customHeight="false" outlineLevel="0" collapsed="false">
      <c r="A284" s="0" t="s">
        <v>314</v>
      </c>
      <c r="B284" s="2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P284" s="0" t="n">
        <v>70.5</v>
      </c>
      <c r="Q284" s="3" t="n">
        <f aca="false">IF($C284="Control",$P284,"")</f>
        <v>70.5</v>
      </c>
      <c r="R284" s="0" t="str">
        <f aca="false">IF($C284="Treatment",$P284,"")</f>
        <v/>
      </c>
      <c r="S284" s="0" t="str">
        <f aca="false">IF(AND($C284="Control",$K284=1),$L284,"")</f>
        <v/>
      </c>
      <c r="T284" s="0" t="str">
        <f aca="false">IF(AND($C284="Treatment",$K284=1),$L284,"")</f>
        <v/>
      </c>
    </row>
    <row r="285" customFormat="false" ht="15" hidden="false" customHeight="false" outlineLevel="0" collapsed="false">
      <c r="A285" s="0" t="s">
        <v>315</v>
      </c>
      <c r="B285" s="2" t="n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P285" s="0" t="n">
        <v>33.4</v>
      </c>
      <c r="Q285" s="3" t="n">
        <f aca="false">IF($C285="Control",$P285,"")</f>
        <v>33.4</v>
      </c>
      <c r="R285" s="0" t="str">
        <f aca="false">IF($C285="Treatment",$P285,"")</f>
        <v/>
      </c>
      <c r="S285" s="0" t="str">
        <f aca="false">IF(AND($C285="Control",$K285=1),$L285,"")</f>
        <v/>
      </c>
      <c r="T285" s="0" t="str">
        <f aca="false">IF(AND($C285="Treatment",$K285=1),$L285,"")</f>
        <v/>
      </c>
    </row>
    <row r="286" customFormat="false" ht="15" hidden="false" customHeight="false" outlineLevel="0" collapsed="false">
      <c r="A286" s="0" t="s">
        <v>316</v>
      </c>
      <c r="B286" s="2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P286" s="0" t="n">
        <v>57.5</v>
      </c>
      <c r="Q286" s="3" t="n">
        <f aca="false">IF($C286="Control",$P286,"")</f>
        <v>57.5</v>
      </c>
      <c r="R286" s="0" t="str">
        <f aca="false">IF($C286="Treatment",$P286,"")</f>
        <v/>
      </c>
      <c r="S286" s="0" t="str">
        <f aca="false">IF(AND($C286="Control",$K286=1),$L286,"")</f>
        <v/>
      </c>
      <c r="T286" s="0" t="str">
        <f aca="false">IF(AND($C286="Treatment",$K286=1),$L286,"")</f>
        <v/>
      </c>
    </row>
    <row r="287" customFormat="false" ht="15" hidden="false" customHeight="false" outlineLevel="0" collapsed="false">
      <c r="A287" s="0" t="s">
        <v>317</v>
      </c>
      <c r="B287" s="2" t="n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P287" s="0" t="n">
        <v>85.7</v>
      </c>
      <c r="Q287" s="3" t="n">
        <f aca="false">IF($C287="Control",$P287,"")</f>
        <v>85.7</v>
      </c>
      <c r="R287" s="0" t="str">
        <f aca="false">IF($C287="Treatment",$P287,"")</f>
        <v/>
      </c>
      <c r="S287" s="0" t="str">
        <f aca="false">IF(AND($C287="Control",$K287=1),$L287,"")</f>
        <v/>
      </c>
      <c r="T287" s="0" t="str">
        <f aca="false">IF(AND($C287="Treatment",$K287=1),$L287,"")</f>
        <v/>
      </c>
    </row>
    <row r="288" customFormat="false" ht="15" hidden="false" customHeight="false" outlineLevel="0" collapsed="false">
      <c r="A288" s="0" t="s">
        <v>318</v>
      </c>
      <c r="B288" s="2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P288" s="0" t="n">
        <v>41.9</v>
      </c>
      <c r="Q288" s="3" t="n">
        <f aca="false">IF($C288="Control",$P288,"")</f>
        <v>41.9</v>
      </c>
      <c r="R288" s="0" t="str">
        <f aca="false">IF($C288="Treatment",$P288,"")</f>
        <v/>
      </c>
      <c r="S288" s="0" t="str">
        <f aca="false">IF(AND($C288="Control",$K288=1),$L288,"")</f>
        <v/>
      </c>
      <c r="T288" s="0" t="str">
        <f aca="false">IF(AND($C288="Treatment",$K288=1),$L288,"")</f>
        <v/>
      </c>
    </row>
    <row r="289" customFormat="false" ht="15" hidden="false" customHeight="false" outlineLevel="0" collapsed="false">
      <c r="A289" s="0" t="s">
        <v>319</v>
      </c>
      <c r="B289" s="2" t="n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P289" s="0" t="n">
        <v>70.2</v>
      </c>
      <c r="Q289" s="3" t="n">
        <f aca="false">IF($C289="Control",$P289,"")</f>
        <v>70.2</v>
      </c>
      <c r="R289" s="0" t="str">
        <f aca="false">IF($C289="Treatment",$P289,"")</f>
        <v/>
      </c>
      <c r="S289" s="0" t="str">
        <f aca="false">IF(AND($C289="Control",$K289=1),$L289,"")</f>
        <v/>
      </c>
      <c r="T289" s="0" t="str">
        <f aca="false">IF(AND($C289="Treatment",$K289=1),$L289,"")</f>
        <v/>
      </c>
    </row>
    <row r="290" customFormat="false" ht="15" hidden="false" customHeight="false" outlineLevel="0" collapsed="false">
      <c r="A290" s="0" t="s">
        <v>320</v>
      </c>
      <c r="B290" s="2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P290" s="0" t="n">
        <v>42.6</v>
      </c>
      <c r="Q290" s="3" t="n">
        <f aca="false">IF($C290="Control",$P290,"")</f>
        <v>42.6</v>
      </c>
      <c r="R290" s="0" t="str">
        <f aca="false">IF($C290="Treatment",$P290,"")</f>
        <v/>
      </c>
      <c r="S290" s="0" t="str">
        <f aca="false">IF(AND($C290="Control",$K290=1),$L290,"")</f>
        <v/>
      </c>
      <c r="T290" s="0" t="str">
        <f aca="false">IF(AND($C290="Treatment",$K290=1),$L290,"")</f>
        <v/>
      </c>
    </row>
    <row r="291" customFormat="false" ht="15" hidden="false" customHeight="false" outlineLevel="0" collapsed="false">
      <c r="A291" s="0" t="s">
        <v>321</v>
      </c>
      <c r="B291" s="2" t="n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2</v>
      </c>
      <c r="N291" s="0" t="n">
        <v>0</v>
      </c>
      <c r="P291" s="0" t="n">
        <v>30.4</v>
      </c>
      <c r="Q291" s="3" t="n">
        <f aca="false">IF($C291="Control",$P291,"")</f>
        <v>30.4</v>
      </c>
      <c r="R291" s="0" t="str">
        <f aca="false">IF($C291="Treatment",$P291,"")</f>
        <v/>
      </c>
      <c r="S291" s="0" t="str">
        <f aca="false">IF(AND($C291="Control",$K291=1),$L291,"")</f>
        <v/>
      </c>
      <c r="T291" s="0" t="str">
        <f aca="false">IF(AND($C291="Treatment",$K291=1),$L291,"")</f>
        <v/>
      </c>
    </row>
    <row r="292" customFormat="false" ht="15" hidden="false" customHeight="false" outlineLevel="0" collapsed="false">
      <c r="A292" s="0" t="s">
        <v>322</v>
      </c>
      <c r="B292" s="2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P292" s="0" t="n">
        <v>63.7</v>
      </c>
      <c r="Q292" s="3" t="n">
        <f aca="false">IF($C292="Control",$P292,"")</f>
        <v>63.7</v>
      </c>
      <c r="R292" s="0" t="str">
        <f aca="false">IF($C292="Treatment",$P292,"")</f>
        <v/>
      </c>
      <c r="S292" s="0" t="str">
        <f aca="false">IF(AND($C292="Control",$K292=1),$L292,"")</f>
        <v/>
      </c>
      <c r="T292" s="0" t="str">
        <f aca="false">IF(AND($C292="Treatment",$K292=1),$L292,"")</f>
        <v/>
      </c>
    </row>
    <row r="293" customFormat="false" ht="15" hidden="false" customHeight="false" outlineLevel="0" collapsed="false">
      <c r="A293" s="0" t="s">
        <v>323</v>
      </c>
      <c r="B293" s="2" t="n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P293" s="0" t="n">
        <v>42.7</v>
      </c>
      <c r="Q293" s="3" t="n">
        <f aca="false">IF($C293="Control",$P293,"")</f>
        <v>42.7</v>
      </c>
      <c r="R293" s="0" t="str">
        <f aca="false">IF($C293="Treatment",$P293,"")</f>
        <v/>
      </c>
      <c r="S293" s="0" t="str">
        <f aca="false">IF(AND($C293="Control",$K293=1),$L293,"")</f>
        <v/>
      </c>
      <c r="T293" s="0" t="str">
        <f aca="false">IF(AND($C293="Treatment",$K293=1),$L293,"")</f>
        <v/>
      </c>
    </row>
    <row r="294" customFormat="false" ht="15" hidden="false" customHeight="false" outlineLevel="0" collapsed="false">
      <c r="A294" s="0" t="s">
        <v>324</v>
      </c>
      <c r="B294" s="2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P294" s="0" t="n">
        <v>74.3</v>
      </c>
      <c r="Q294" s="3" t="n">
        <f aca="false">IF($C294="Control",$P294,"")</f>
        <v>74.3</v>
      </c>
      <c r="R294" s="0" t="str">
        <f aca="false">IF($C294="Treatment",$P294,"")</f>
        <v/>
      </c>
      <c r="S294" s="0" t="str">
        <f aca="false">IF(AND($C294="Control",$K294=1),$L294,"")</f>
        <v/>
      </c>
      <c r="T294" s="0" t="str">
        <f aca="false">IF(AND($C294="Treatment",$K294=1),$L294,"")</f>
        <v/>
      </c>
    </row>
    <row r="295" customFormat="false" ht="15" hidden="false" customHeight="false" outlineLevel="0" collapsed="false">
      <c r="A295" s="0" t="s">
        <v>325</v>
      </c>
      <c r="B295" s="2" t="n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P295" s="0" t="n">
        <v>40.6</v>
      </c>
      <c r="Q295" s="3" t="n">
        <f aca="false">IF($C295="Control",$P295,"")</f>
        <v>40.6</v>
      </c>
      <c r="R295" s="0" t="str">
        <f aca="false">IF($C295="Treatment",$P295,"")</f>
        <v/>
      </c>
      <c r="S295" s="0" t="str">
        <f aca="false">IF(AND($C295="Control",$K295=1),$L295,"")</f>
        <v/>
      </c>
      <c r="T295" s="0" t="str">
        <f aca="false">IF(AND($C295="Treatment",$K295=1),$L295,"")</f>
        <v/>
      </c>
    </row>
    <row r="296" customFormat="false" ht="15" hidden="false" customHeight="false" outlineLevel="0" collapsed="false">
      <c r="A296" s="0" t="s">
        <v>326</v>
      </c>
      <c r="B296" s="2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P296" s="0" t="n">
        <v>67</v>
      </c>
      <c r="Q296" s="3" t="n">
        <f aca="false">IF($C296="Control",$P296,"")</f>
        <v>67</v>
      </c>
      <c r="R296" s="0" t="str">
        <f aca="false">IF($C296="Treatment",$P296,"")</f>
        <v/>
      </c>
      <c r="S296" s="0" t="str">
        <f aca="false">IF(AND($C296="Control",$K296=1),$L296,"")</f>
        <v/>
      </c>
      <c r="T296" s="0" t="str">
        <f aca="false">IF(AND($C296="Treatment",$K296=1),$L296,"")</f>
        <v/>
      </c>
    </row>
    <row r="297" customFormat="false" ht="15" hidden="false" customHeight="false" outlineLevel="0" collapsed="false">
      <c r="A297" s="0" t="s">
        <v>327</v>
      </c>
      <c r="B297" s="2" t="n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P297" s="0" t="n">
        <v>51</v>
      </c>
      <c r="Q297" s="3" t="n">
        <f aca="false">IF($C297="Control",$P297,"")</f>
        <v>51</v>
      </c>
      <c r="R297" s="0" t="str">
        <f aca="false">IF($C297="Treatment",$P297,"")</f>
        <v/>
      </c>
      <c r="S297" s="0" t="str">
        <f aca="false">IF(AND($C297="Control",$K297=1),$L297,"")</f>
        <v/>
      </c>
      <c r="T297" s="0" t="str">
        <f aca="false">IF(AND($C297="Treatment",$K297=1),$L297,"")</f>
        <v/>
      </c>
    </row>
    <row r="298" customFormat="false" ht="15" hidden="false" customHeight="false" outlineLevel="0" collapsed="false">
      <c r="A298" s="0" t="s">
        <v>328</v>
      </c>
      <c r="B298" s="2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P298" s="0" t="n">
        <v>54.8</v>
      </c>
      <c r="Q298" s="3" t="n">
        <f aca="false">IF($C298="Control",$P298,"")</f>
        <v>54.8</v>
      </c>
      <c r="R298" s="0" t="str">
        <f aca="false">IF($C298="Treatment",$P298,"")</f>
        <v/>
      </c>
      <c r="S298" s="0" t="str">
        <f aca="false">IF(AND($C298="Control",$K298=1),$L298,"")</f>
        <v/>
      </c>
      <c r="T298" s="0" t="str">
        <f aca="false">IF(AND($C298="Treatment",$K298=1),$L298,"")</f>
        <v/>
      </c>
    </row>
    <row r="299" customFormat="false" ht="15" hidden="false" customHeight="false" outlineLevel="0" collapsed="false">
      <c r="A299" s="0" t="s">
        <v>329</v>
      </c>
      <c r="B299" s="2" t="n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P299" s="0" t="n">
        <v>40.8</v>
      </c>
      <c r="Q299" s="3" t="n">
        <f aca="false">IF($C299="Control",$P299,"")</f>
        <v>40.8</v>
      </c>
      <c r="R299" s="0" t="str">
        <f aca="false">IF($C299="Treatment",$P299,"")</f>
        <v/>
      </c>
      <c r="S299" s="0" t="str">
        <f aca="false">IF(AND($C299="Control",$K299=1),$L299,"")</f>
        <v/>
      </c>
      <c r="T299" s="0" t="str">
        <f aca="false">IF(AND($C299="Treatment",$K299=1),$L299,"")</f>
        <v/>
      </c>
    </row>
    <row r="300" customFormat="false" ht="15" hidden="false" customHeight="false" outlineLevel="0" collapsed="false">
      <c r="A300" s="0" t="s">
        <v>330</v>
      </c>
      <c r="B300" s="2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P300" s="0" t="n">
        <v>48.8</v>
      </c>
      <c r="Q300" s="3" t="n">
        <f aca="false">IF($C300="Control",$P300,"")</f>
        <v>48.8</v>
      </c>
      <c r="R300" s="0" t="str">
        <f aca="false">IF($C300="Treatment",$P300,"")</f>
        <v/>
      </c>
      <c r="S300" s="0" t="str">
        <f aca="false">IF(AND($C300="Control",$K300=1),$L300,"")</f>
        <v/>
      </c>
      <c r="T300" s="0" t="str">
        <f aca="false">IF(AND($C300="Treatment",$K300=1),$L300,"")</f>
        <v/>
      </c>
    </row>
    <row r="301" customFormat="false" ht="15" hidden="false" customHeight="false" outlineLevel="0" collapsed="false">
      <c r="A301" s="0" t="s">
        <v>331</v>
      </c>
      <c r="B301" s="2" t="n">
        <v>45681</v>
      </c>
      <c r="C301" s="3" t="s">
        <v>17</v>
      </c>
      <c r="D301" s="3" t="s">
        <v>32</v>
      </c>
      <c r="E301" s="3" t="s">
        <v>24</v>
      </c>
      <c r="F301" s="3" t="s">
        <v>1470</v>
      </c>
      <c r="G301" s="3" t="s">
        <v>21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1198.69</v>
      </c>
      <c r="M301" s="0" t="n">
        <v>1</v>
      </c>
      <c r="N301" s="0" t="n">
        <v>0</v>
      </c>
      <c r="O301" s="0" t="n">
        <v>6</v>
      </c>
      <c r="P301" s="0" t="n">
        <v>88.9</v>
      </c>
      <c r="Q301" s="3" t="n">
        <f aca="false">IF($C301="Control",$P301,"")</f>
        <v>88.9</v>
      </c>
      <c r="R301" s="0" t="str">
        <f aca="false">IF($C301="Treatment",$P301,"")</f>
        <v/>
      </c>
      <c r="S301" s="3" t="n">
        <f aca="false">IF(AND($C301="Control",$K301=1),$L301,"")</f>
        <v>1198.69</v>
      </c>
      <c r="T301" s="0" t="str">
        <f aca="false">IF(AND($C301="Treatment",$K301=1),$L301,"")</f>
        <v/>
      </c>
    </row>
    <row r="302" customFormat="false" ht="15" hidden="false" customHeight="false" outlineLevel="0" collapsed="false">
      <c r="A302" s="0" t="s">
        <v>332</v>
      </c>
      <c r="B302" s="2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0" t="n">
        <v>1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P302" s="0" t="n">
        <v>60.5</v>
      </c>
      <c r="Q302" s="3" t="n">
        <f aca="false">IF($C302="Control",$P302,"")</f>
        <v>60.5</v>
      </c>
      <c r="R302" s="0" t="str">
        <f aca="false">IF($C302="Treatment",$P302,"")</f>
        <v/>
      </c>
      <c r="S302" s="0" t="str">
        <f aca="false">IF(AND($C302="Control",$K302=1),$L302,"")</f>
        <v/>
      </c>
      <c r="T302" s="0" t="str">
        <f aca="false">IF(AND($C302="Treatment",$K302=1),$L302,"")</f>
        <v/>
      </c>
    </row>
    <row r="303" customFormat="false" ht="15" hidden="false" customHeight="false" outlineLevel="0" collapsed="false">
      <c r="A303" s="0" t="s">
        <v>333</v>
      </c>
      <c r="B303" s="2" t="n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P303" s="0" t="n">
        <v>63.6</v>
      </c>
      <c r="Q303" s="3" t="n">
        <f aca="false">IF($C303="Control",$P303,"")</f>
        <v>63.6</v>
      </c>
      <c r="R303" s="0" t="str">
        <f aca="false">IF($C303="Treatment",$P303,"")</f>
        <v/>
      </c>
      <c r="S303" s="0" t="str">
        <f aca="false">IF(AND($C303="Control",$K303=1),$L303,"")</f>
        <v/>
      </c>
      <c r="T303" s="0" t="str">
        <f aca="false">IF(AND($C303="Treatment",$K303=1),$L303,"")</f>
        <v/>
      </c>
    </row>
    <row r="304" customFormat="false" ht="15" hidden="false" customHeight="false" outlineLevel="0" collapsed="false">
      <c r="A304" s="0" t="s">
        <v>334</v>
      </c>
      <c r="B304" s="2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0" t="n">
        <v>1</v>
      </c>
      <c r="I304" s="0" t="n">
        <v>1</v>
      </c>
      <c r="J304" s="0" t="n">
        <v>1</v>
      </c>
      <c r="K304" s="0" t="n">
        <v>1</v>
      </c>
      <c r="L304" s="0" t="n">
        <v>6788.95</v>
      </c>
      <c r="M304" s="0" t="n">
        <v>0</v>
      </c>
      <c r="N304" s="0" t="n">
        <v>0</v>
      </c>
      <c r="O304" s="0" t="n">
        <v>17</v>
      </c>
      <c r="P304" s="0" t="n">
        <v>58.4</v>
      </c>
      <c r="Q304" s="3" t="n">
        <f aca="false">IF($C304="Control",$P304,"")</f>
        <v>58.4</v>
      </c>
      <c r="R304" s="0" t="str">
        <f aca="false">IF($C304="Treatment",$P304,"")</f>
        <v/>
      </c>
      <c r="S304" s="3" t="n">
        <f aca="false">IF(AND($C304="Control",$K304=1),$L304,"")</f>
        <v>6788.95</v>
      </c>
      <c r="T304" s="0" t="str">
        <f aca="false">IF(AND($C304="Treatment",$K304=1),$L304,"")</f>
        <v/>
      </c>
    </row>
    <row r="305" customFormat="false" ht="15" hidden="false" customHeight="false" outlineLevel="0" collapsed="false">
      <c r="A305" s="0" t="s">
        <v>335</v>
      </c>
      <c r="B305" s="2" t="n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P305" s="0" t="n">
        <v>52.7</v>
      </c>
      <c r="Q305" s="3" t="n">
        <f aca="false">IF($C305="Control",$P305,"")</f>
        <v>52.7</v>
      </c>
      <c r="R305" s="0" t="str">
        <f aca="false">IF($C305="Treatment",$P305,"")</f>
        <v/>
      </c>
      <c r="S305" s="0" t="str">
        <f aca="false">IF(AND($C305="Control",$K305=1),$L305,"")</f>
        <v/>
      </c>
      <c r="T305" s="0" t="str">
        <f aca="false">IF(AND($C305="Treatment",$K305=1),$L305,"")</f>
        <v/>
      </c>
    </row>
    <row r="306" customFormat="false" ht="15" hidden="false" customHeight="false" outlineLevel="0" collapsed="false">
      <c r="A306" s="0" t="s">
        <v>336</v>
      </c>
      <c r="B306" s="2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2</v>
      </c>
      <c r="N306" s="0" t="n">
        <v>0</v>
      </c>
      <c r="P306" s="0" t="n">
        <v>48.9</v>
      </c>
      <c r="Q306" s="3" t="n">
        <f aca="false">IF($C306="Control",$P306,"")</f>
        <v>48.9</v>
      </c>
      <c r="R306" s="0" t="str">
        <f aca="false">IF($C306="Treatment",$P306,"")</f>
        <v/>
      </c>
      <c r="S306" s="0" t="str">
        <f aca="false">IF(AND($C306="Control",$K306=1),$L306,"")</f>
        <v/>
      </c>
      <c r="T306" s="0" t="str">
        <f aca="false">IF(AND($C306="Treatment",$K306=1),$L306,"")</f>
        <v/>
      </c>
    </row>
    <row r="307" customFormat="false" ht="15" hidden="false" customHeight="false" outlineLevel="0" collapsed="false">
      <c r="A307" s="0" t="s">
        <v>337</v>
      </c>
      <c r="B307" s="2" t="n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P307" s="0" t="n">
        <v>79.7</v>
      </c>
      <c r="Q307" s="3" t="n">
        <f aca="false">IF($C307="Control",$P307,"")</f>
        <v>79.7</v>
      </c>
      <c r="R307" s="0" t="str">
        <f aca="false">IF($C307="Treatment",$P307,"")</f>
        <v/>
      </c>
      <c r="S307" s="0" t="str">
        <f aca="false">IF(AND($C307="Control",$K307=1),$L307,"")</f>
        <v/>
      </c>
      <c r="T307" s="0" t="str">
        <f aca="false">IF(AND($C307="Treatment",$K307=1),$L307,"")</f>
        <v/>
      </c>
    </row>
    <row r="308" customFormat="false" ht="15" hidden="false" customHeight="false" outlineLevel="0" collapsed="false">
      <c r="A308" s="0" t="s">
        <v>338</v>
      </c>
      <c r="B308" s="2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P308" s="0" t="n">
        <v>44.9</v>
      </c>
      <c r="Q308" s="3" t="n">
        <f aca="false">IF($C308="Control",$P308,"")</f>
        <v>44.9</v>
      </c>
      <c r="R308" s="0" t="str">
        <f aca="false">IF($C308="Treatment",$P308,"")</f>
        <v/>
      </c>
      <c r="S308" s="0" t="str">
        <f aca="false">IF(AND($C308="Control",$K308=1),$L308,"")</f>
        <v/>
      </c>
      <c r="T308" s="0" t="str">
        <f aca="false">IF(AND($C308="Treatment",$K308=1),$L308,"")</f>
        <v/>
      </c>
    </row>
    <row r="309" customFormat="false" ht="15" hidden="false" customHeight="false" outlineLevel="0" collapsed="false">
      <c r="A309" s="0" t="s">
        <v>339</v>
      </c>
      <c r="B309" s="2" t="n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0" t="n">
        <v>1</v>
      </c>
      <c r="I309" s="0" t="n">
        <v>1</v>
      </c>
      <c r="J309" s="0" t="n">
        <v>1</v>
      </c>
      <c r="K309" s="0" t="n">
        <v>1</v>
      </c>
      <c r="L309" s="0" t="n">
        <v>409.39</v>
      </c>
      <c r="M309" s="0" t="n">
        <v>0</v>
      </c>
      <c r="N309" s="0" t="n">
        <v>0</v>
      </c>
      <c r="O309" s="0" t="n">
        <v>10</v>
      </c>
      <c r="P309" s="0" t="n">
        <v>38.8</v>
      </c>
      <c r="Q309" s="3" t="n">
        <f aca="false">IF($C309="Control",$P309,"")</f>
        <v>38.8</v>
      </c>
      <c r="R309" s="0" t="str">
        <f aca="false">IF($C309="Treatment",$P309,"")</f>
        <v/>
      </c>
      <c r="S309" s="3" t="n">
        <f aca="false">IF(AND($C309="Control",$K309=1),$L309,"")</f>
        <v>409.39</v>
      </c>
      <c r="T309" s="0" t="str">
        <f aca="false">IF(AND($C309="Treatment",$K309=1),$L309,"")</f>
        <v/>
      </c>
    </row>
    <row r="310" customFormat="false" ht="15" hidden="false" customHeight="false" outlineLevel="0" collapsed="false">
      <c r="A310" s="0" t="s">
        <v>340</v>
      </c>
      <c r="B310" s="2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P310" s="0" t="n">
        <v>70</v>
      </c>
      <c r="Q310" s="3" t="n">
        <f aca="false">IF($C310="Control",$P310,"")</f>
        <v>70</v>
      </c>
      <c r="R310" s="0" t="str">
        <f aca="false">IF($C310="Treatment",$P310,"")</f>
        <v/>
      </c>
      <c r="S310" s="0" t="str">
        <f aca="false">IF(AND($C310="Control",$K310=1),$L310,"")</f>
        <v/>
      </c>
      <c r="T310" s="0" t="str">
        <f aca="false">IF(AND($C310="Treatment",$K310=1),$L310,"")</f>
        <v/>
      </c>
    </row>
    <row r="311" customFormat="false" ht="15" hidden="false" customHeight="false" outlineLevel="0" collapsed="false">
      <c r="A311" s="0" t="s">
        <v>341</v>
      </c>
      <c r="B311" s="2" t="n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P311" s="0" t="n">
        <v>77.7</v>
      </c>
      <c r="Q311" s="3" t="n">
        <f aca="false">IF($C311="Control",$P311,"")</f>
        <v>77.7</v>
      </c>
      <c r="R311" s="0" t="str">
        <f aca="false">IF($C311="Treatment",$P311,"")</f>
        <v/>
      </c>
      <c r="S311" s="0" t="str">
        <f aca="false">IF(AND($C311="Control",$K311=1),$L311,"")</f>
        <v/>
      </c>
      <c r="T311" s="0" t="str">
        <f aca="false">IF(AND($C311="Treatment",$K311=1),$L311,"")</f>
        <v/>
      </c>
    </row>
    <row r="312" customFormat="false" ht="15" hidden="false" customHeight="false" outlineLevel="0" collapsed="false">
      <c r="A312" s="0" t="s">
        <v>342</v>
      </c>
      <c r="B312" s="2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P312" s="0" t="n">
        <v>71.2</v>
      </c>
      <c r="Q312" s="3" t="n">
        <f aca="false">IF($C312="Control",$P312,"")</f>
        <v>71.2</v>
      </c>
      <c r="R312" s="0" t="str">
        <f aca="false">IF($C312="Treatment",$P312,"")</f>
        <v/>
      </c>
      <c r="S312" s="0" t="str">
        <f aca="false">IF(AND($C312="Control",$K312=1),$L312,"")</f>
        <v/>
      </c>
      <c r="T312" s="0" t="str">
        <f aca="false">IF(AND($C312="Treatment",$K312=1),$L312,"")</f>
        <v/>
      </c>
    </row>
    <row r="313" customFormat="false" ht="15" hidden="false" customHeight="false" outlineLevel="0" collapsed="false">
      <c r="A313" s="0" t="s">
        <v>343</v>
      </c>
      <c r="B313" s="2" t="n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P313" s="0" t="n">
        <v>43.8</v>
      </c>
      <c r="Q313" s="3" t="n">
        <f aca="false">IF($C313="Control",$P313,"")</f>
        <v>43.8</v>
      </c>
      <c r="R313" s="0" t="str">
        <f aca="false">IF($C313="Treatment",$P313,"")</f>
        <v/>
      </c>
      <c r="S313" s="0" t="str">
        <f aca="false">IF(AND($C313="Control",$K313=1),$L313,"")</f>
        <v/>
      </c>
      <c r="T313" s="0" t="str">
        <f aca="false">IF(AND($C313="Treatment",$K313=1),$L313,"")</f>
        <v/>
      </c>
    </row>
    <row r="314" customFormat="false" ht="15" hidden="false" customHeight="false" outlineLevel="0" collapsed="false">
      <c r="A314" s="0" t="s">
        <v>344</v>
      </c>
      <c r="B314" s="2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P314" s="0" t="n">
        <v>50.9</v>
      </c>
      <c r="Q314" s="3" t="n">
        <f aca="false">IF($C314="Control",$P314,"")</f>
        <v>50.9</v>
      </c>
      <c r="R314" s="0" t="str">
        <f aca="false">IF($C314="Treatment",$P314,"")</f>
        <v/>
      </c>
      <c r="S314" s="0" t="str">
        <f aca="false">IF(AND($C314="Control",$K314=1),$L314,"")</f>
        <v/>
      </c>
      <c r="T314" s="0" t="str">
        <f aca="false">IF(AND($C314="Treatment",$K314=1),$L314,"")</f>
        <v/>
      </c>
    </row>
    <row r="315" customFormat="false" ht="15" hidden="false" customHeight="false" outlineLevel="0" collapsed="false">
      <c r="A315" s="0" t="s">
        <v>345</v>
      </c>
      <c r="B315" s="2" t="n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P315" s="0" t="n">
        <v>58.5</v>
      </c>
      <c r="Q315" s="3" t="n">
        <f aca="false">IF($C315="Control",$P315,"")</f>
        <v>58.5</v>
      </c>
      <c r="R315" s="0" t="str">
        <f aca="false">IF($C315="Treatment",$P315,"")</f>
        <v/>
      </c>
      <c r="S315" s="0" t="str">
        <f aca="false">IF(AND($C315="Control",$K315=1),$L315,"")</f>
        <v/>
      </c>
      <c r="T315" s="0" t="str">
        <f aca="false">IF(AND($C315="Treatment",$K315=1),$L315,"")</f>
        <v/>
      </c>
    </row>
    <row r="316" customFormat="false" ht="15" hidden="false" customHeight="false" outlineLevel="0" collapsed="false">
      <c r="A316" s="0" t="s">
        <v>346</v>
      </c>
      <c r="B316" s="2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0" t="n">
        <v>1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P316" s="0" t="n">
        <v>53.6</v>
      </c>
      <c r="Q316" s="3" t="n">
        <f aca="false">IF($C316="Control",$P316,"")</f>
        <v>53.6</v>
      </c>
      <c r="R316" s="0" t="str">
        <f aca="false">IF($C316="Treatment",$P316,"")</f>
        <v/>
      </c>
      <c r="S316" s="0" t="str">
        <f aca="false">IF(AND($C316="Control",$K316=1),$L316,"")</f>
        <v/>
      </c>
      <c r="T316" s="0" t="str">
        <f aca="false">IF(AND($C316="Treatment",$K316=1),$L316,"")</f>
        <v/>
      </c>
    </row>
    <row r="317" customFormat="false" ht="15" hidden="false" customHeight="false" outlineLevel="0" collapsed="false">
      <c r="A317" s="0" t="s">
        <v>347</v>
      </c>
      <c r="B317" s="2" t="n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P317" s="0" t="n">
        <v>54.9</v>
      </c>
      <c r="Q317" s="3" t="n">
        <f aca="false">IF($C317="Control",$P317,"")</f>
        <v>54.9</v>
      </c>
      <c r="R317" s="0" t="str">
        <f aca="false">IF($C317="Treatment",$P317,"")</f>
        <v/>
      </c>
      <c r="S317" s="0" t="str">
        <f aca="false">IF(AND($C317="Control",$K317=1),$L317,"")</f>
        <v/>
      </c>
      <c r="T317" s="0" t="str">
        <f aca="false">IF(AND($C317="Treatment",$K317=1),$L317,"")</f>
        <v/>
      </c>
    </row>
    <row r="318" customFormat="false" ht="15" hidden="false" customHeight="false" outlineLevel="0" collapsed="false">
      <c r="A318" s="0" t="s">
        <v>348</v>
      </c>
      <c r="B318" s="2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P318" s="0" t="n">
        <v>57.3</v>
      </c>
      <c r="Q318" s="3" t="n">
        <f aca="false">IF($C318="Control",$P318,"")</f>
        <v>57.3</v>
      </c>
      <c r="R318" s="0" t="str">
        <f aca="false">IF($C318="Treatment",$P318,"")</f>
        <v/>
      </c>
      <c r="S318" s="0" t="str">
        <f aca="false">IF(AND($C318="Control",$K318=1),$L318,"")</f>
        <v/>
      </c>
      <c r="T318" s="0" t="str">
        <f aca="false">IF(AND($C318="Treatment",$K318=1),$L318,"")</f>
        <v/>
      </c>
    </row>
    <row r="319" customFormat="false" ht="15" hidden="false" customHeight="false" outlineLevel="0" collapsed="false">
      <c r="A319" s="0" t="s">
        <v>349</v>
      </c>
      <c r="B319" s="2" t="n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P319" s="0" t="n">
        <v>52.1</v>
      </c>
      <c r="Q319" s="3" t="n">
        <f aca="false">IF($C319="Control",$P319,"")</f>
        <v>52.1</v>
      </c>
      <c r="R319" s="0" t="str">
        <f aca="false">IF($C319="Treatment",$P319,"")</f>
        <v/>
      </c>
      <c r="S319" s="0" t="str">
        <f aca="false">IF(AND($C319="Control",$K319=1),$L319,"")</f>
        <v/>
      </c>
      <c r="T319" s="0" t="str">
        <f aca="false">IF(AND($C319="Treatment",$K319=1),$L319,"")</f>
        <v/>
      </c>
    </row>
    <row r="320" customFormat="false" ht="15" hidden="false" customHeight="false" outlineLevel="0" collapsed="false">
      <c r="A320" s="0" t="s">
        <v>350</v>
      </c>
      <c r="B320" s="2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P320" s="0" t="n">
        <v>80</v>
      </c>
      <c r="Q320" s="3" t="n">
        <f aca="false">IF($C320="Control",$P320,"")</f>
        <v>80</v>
      </c>
      <c r="R320" s="0" t="str">
        <f aca="false">IF($C320="Treatment",$P320,"")</f>
        <v/>
      </c>
      <c r="S320" s="0" t="str">
        <f aca="false">IF(AND($C320="Control",$K320=1),$L320,"")</f>
        <v/>
      </c>
      <c r="T320" s="0" t="str">
        <f aca="false">IF(AND($C320="Treatment",$K320=1),$L320,"")</f>
        <v/>
      </c>
    </row>
    <row r="321" customFormat="false" ht="15" hidden="false" customHeight="false" outlineLevel="0" collapsed="false">
      <c r="A321" s="0" t="s">
        <v>351</v>
      </c>
      <c r="B321" s="2" t="n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P321" s="0" t="n">
        <v>39.3</v>
      </c>
      <c r="Q321" s="3" t="n">
        <f aca="false">IF($C321="Control",$P321,"")</f>
        <v>39.3</v>
      </c>
      <c r="R321" s="0" t="str">
        <f aca="false">IF($C321="Treatment",$P321,"")</f>
        <v/>
      </c>
      <c r="S321" s="0" t="str">
        <f aca="false">IF(AND($C321="Control",$K321=1),$L321,"")</f>
        <v/>
      </c>
      <c r="T321" s="0" t="str">
        <f aca="false">IF(AND($C321="Treatment",$K321=1),$L321,"")</f>
        <v/>
      </c>
    </row>
    <row r="322" customFormat="false" ht="15" hidden="false" customHeight="false" outlineLevel="0" collapsed="false">
      <c r="A322" s="0" t="s">
        <v>352</v>
      </c>
      <c r="B322" s="2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P322" s="0" t="n">
        <v>45.7</v>
      </c>
      <c r="Q322" s="3" t="n">
        <f aca="false">IF($C322="Control",$P322,"")</f>
        <v>45.7</v>
      </c>
      <c r="R322" s="0" t="str">
        <f aca="false">IF($C322="Treatment",$P322,"")</f>
        <v/>
      </c>
      <c r="S322" s="0" t="str">
        <f aca="false">IF(AND($C322="Control",$K322=1),$L322,"")</f>
        <v/>
      </c>
      <c r="T322" s="0" t="str">
        <f aca="false">IF(AND($C322="Treatment",$K322=1),$L322,"")</f>
        <v/>
      </c>
    </row>
    <row r="323" customFormat="false" ht="15" hidden="false" customHeight="false" outlineLevel="0" collapsed="false">
      <c r="A323" s="0" t="s">
        <v>353</v>
      </c>
      <c r="B323" s="2" t="n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2</v>
      </c>
      <c r="N323" s="0" t="n">
        <v>0</v>
      </c>
      <c r="P323" s="0" t="n">
        <v>61.2</v>
      </c>
      <c r="Q323" s="3" t="n">
        <f aca="false">IF($C323="Control",$P323,"")</f>
        <v>61.2</v>
      </c>
      <c r="R323" s="0" t="str">
        <f aca="false">IF($C323="Treatment",$P323,"")</f>
        <v/>
      </c>
      <c r="S323" s="0" t="str">
        <f aca="false">IF(AND($C323="Control",$K323=1),$L323,"")</f>
        <v/>
      </c>
      <c r="T323" s="0" t="str">
        <f aca="false">IF(AND($C323="Treatment",$K323=1),$L323,"")</f>
        <v/>
      </c>
    </row>
    <row r="324" customFormat="false" ht="15" hidden="false" customHeight="false" outlineLevel="0" collapsed="false">
      <c r="A324" s="0" t="s">
        <v>354</v>
      </c>
      <c r="B324" s="2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0" t="n">
        <v>1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P324" s="0" t="n">
        <v>66.2</v>
      </c>
      <c r="Q324" s="3" t="n">
        <f aca="false">IF($C324="Control",$P324,"")</f>
        <v>66.2</v>
      </c>
      <c r="R324" s="0" t="str">
        <f aca="false">IF($C324="Treatment",$P324,"")</f>
        <v/>
      </c>
      <c r="S324" s="0" t="str">
        <f aca="false">IF(AND($C324="Control",$K324=1),$L324,"")</f>
        <v/>
      </c>
      <c r="T324" s="0" t="str">
        <f aca="false">IF(AND($C324="Treatment",$K324=1),$L324,"")</f>
        <v/>
      </c>
    </row>
    <row r="325" customFormat="false" ht="15" hidden="false" customHeight="false" outlineLevel="0" collapsed="false">
      <c r="A325" s="0" t="s">
        <v>355</v>
      </c>
      <c r="B325" s="2" t="n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0" t="n">
        <v>1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P325" s="0" t="n">
        <v>61.3</v>
      </c>
      <c r="Q325" s="3" t="n">
        <f aca="false">IF($C325="Control",$P325,"")</f>
        <v>61.3</v>
      </c>
      <c r="R325" s="0" t="str">
        <f aca="false">IF($C325="Treatment",$P325,"")</f>
        <v/>
      </c>
      <c r="S325" s="0" t="str">
        <f aca="false">IF(AND($C325="Control",$K325=1),$L325,"")</f>
        <v/>
      </c>
      <c r="T325" s="0" t="str">
        <f aca="false">IF(AND($C325="Treatment",$K325=1),$L325,"")</f>
        <v/>
      </c>
    </row>
    <row r="326" customFormat="false" ht="15" hidden="false" customHeight="false" outlineLevel="0" collapsed="false">
      <c r="A326" s="0" t="s">
        <v>356</v>
      </c>
      <c r="B326" s="2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P326" s="0" t="n">
        <v>72.2</v>
      </c>
      <c r="Q326" s="3" t="n">
        <f aca="false">IF($C326="Control",$P326,"")</f>
        <v>72.2</v>
      </c>
      <c r="R326" s="0" t="str">
        <f aca="false">IF($C326="Treatment",$P326,"")</f>
        <v/>
      </c>
      <c r="S326" s="0" t="str">
        <f aca="false">IF(AND($C326="Control",$K326=1),$L326,"")</f>
        <v/>
      </c>
      <c r="T326" s="0" t="str">
        <f aca="false">IF(AND($C326="Treatment",$K326=1),$L326,"")</f>
        <v/>
      </c>
    </row>
    <row r="327" customFormat="false" ht="15" hidden="false" customHeight="false" outlineLevel="0" collapsed="false">
      <c r="A327" s="0" t="s">
        <v>357</v>
      </c>
      <c r="B327" s="2" t="n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0" t="n">
        <v>1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0</v>
      </c>
      <c r="P327" s="0" t="n">
        <v>84</v>
      </c>
      <c r="Q327" s="3" t="n">
        <f aca="false">IF($C327="Control",$P327,"")</f>
        <v>84</v>
      </c>
      <c r="R327" s="0" t="str">
        <f aca="false">IF($C327="Treatment",$P327,"")</f>
        <v/>
      </c>
      <c r="S327" s="0" t="str">
        <f aca="false">IF(AND($C327="Control",$K327=1),$L327,"")</f>
        <v/>
      </c>
      <c r="T327" s="0" t="str">
        <f aca="false">IF(AND($C327="Treatment",$K327=1),$L327,"")</f>
        <v/>
      </c>
    </row>
    <row r="328" customFormat="false" ht="15" hidden="false" customHeight="false" outlineLevel="0" collapsed="false">
      <c r="A328" s="0" t="s">
        <v>358</v>
      </c>
      <c r="B328" s="2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P328" s="0" t="n">
        <v>59.8</v>
      </c>
      <c r="Q328" s="3" t="n">
        <f aca="false">IF($C328="Control",$P328,"")</f>
        <v>59.8</v>
      </c>
      <c r="R328" s="0" t="str">
        <f aca="false">IF($C328="Treatment",$P328,"")</f>
        <v/>
      </c>
      <c r="S328" s="0" t="str">
        <f aca="false">IF(AND($C328="Control",$K328=1),$L328,"")</f>
        <v/>
      </c>
      <c r="T328" s="0" t="str">
        <f aca="false">IF(AND($C328="Treatment",$K328=1),$L328,"")</f>
        <v/>
      </c>
    </row>
    <row r="329" customFormat="false" ht="15" hidden="false" customHeight="false" outlineLevel="0" collapsed="false">
      <c r="A329" s="0" t="s">
        <v>359</v>
      </c>
      <c r="B329" s="2" t="n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P329" s="0" t="n">
        <v>64.9</v>
      </c>
      <c r="Q329" s="3" t="n">
        <f aca="false">IF($C329="Control",$P329,"")</f>
        <v>64.9</v>
      </c>
      <c r="R329" s="0" t="str">
        <f aca="false">IF($C329="Treatment",$P329,"")</f>
        <v/>
      </c>
      <c r="S329" s="0" t="str">
        <f aca="false">IF(AND($C329="Control",$K329=1),$L329,"")</f>
        <v/>
      </c>
      <c r="T329" s="0" t="str">
        <f aca="false">IF(AND($C329="Treatment",$K329=1),$L329,"")</f>
        <v/>
      </c>
    </row>
    <row r="330" customFormat="false" ht="15" hidden="false" customHeight="false" outlineLevel="0" collapsed="false">
      <c r="A330" s="0" t="s">
        <v>360</v>
      </c>
      <c r="B330" s="2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P330" s="0" t="n">
        <v>66.8</v>
      </c>
      <c r="Q330" s="3" t="n">
        <f aca="false">IF($C330="Control",$P330,"")</f>
        <v>66.8</v>
      </c>
      <c r="R330" s="0" t="str">
        <f aca="false">IF($C330="Treatment",$P330,"")</f>
        <v/>
      </c>
      <c r="S330" s="0" t="str">
        <f aca="false">IF(AND($C330="Control",$K330=1),$L330,"")</f>
        <v/>
      </c>
      <c r="T330" s="0" t="str">
        <f aca="false">IF(AND($C330="Treatment",$K330=1),$L330,"")</f>
        <v/>
      </c>
    </row>
    <row r="331" customFormat="false" ht="15" hidden="false" customHeight="false" outlineLevel="0" collapsed="false">
      <c r="A331" s="0" t="s">
        <v>361</v>
      </c>
      <c r="B331" s="2" t="n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P331" s="0" t="n">
        <v>70.9</v>
      </c>
      <c r="Q331" s="3" t="n">
        <f aca="false">IF($C331="Control",$P331,"")</f>
        <v>70.9</v>
      </c>
      <c r="R331" s="0" t="str">
        <f aca="false">IF($C331="Treatment",$P331,"")</f>
        <v/>
      </c>
      <c r="S331" s="0" t="str">
        <f aca="false">IF(AND($C331="Control",$K331=1),$L331,"")</f>
        <v/>
      </c>
      <c r="T331" s="0" t="str">
        <f aca="false">IF(AND($C331="Treatment",$K331=1),$L331,"")</f>
        <v/>
      </c>
    </row>
    <row r="332" customFormat="false" ht="15" hidden="false" customHeight="false" outlineLevel="0" collapsed="false">
      <c r="A332" s="0" t="s">
        <v>362</v>
      </c>
      <c r="B332" s="2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0" t="n">
        <v>1</v>
      </c>
      <c r="I332" s="0" t="n">
        <v>1</v>
      </c>
      <c r="J332" s="0" t="n">
        <v>1</v>
      </c>
      <c r="K332" s="0" t="n">
        <v>1</v>
      </c>
      <c r="L332" s="0" t="n">
        <v>426.82</v>
      </c>
      <c r="M332" s="0" t="n">
        <v>1</v>
      </c>
      <c r="N332" s="0" t="n">
        <v>0</v>
      </c>
      <c r="O332" s="0" t="n">
        <v>14</v>
      </c>
      <c r="P332" s="0" t="n">
        <v>68.8</v>
      </c>
      <c r="Q332" s="3" t="n">
        <f aca="false">IF($C332="Control",$P332,"")</f>
        <v>68.8</v>
      </c>
      <c r="R332" s="0" t="str">
        <f aca="false">IF($C332="Treatment",$P332,"")</f>
        <v/>
      </c>
      <c r="S332" s="3" t="n">
        <f aca="false">IF(AND($C332="Control",$K332=1),$L332,"")</f>
        <v>426.82</v>
      </c>
      <c r="T332" s="0" t="str">
        <f aca="false">IF(AND($C332="Treatment",$K332=1),$L332,"")</f>
        <v/>
      </c>
    </row>
    <row r="333" customFormat="false" ht="15" hidden="false" customHeight="false" outlineLevel="0" collapsed="false">
      <c r="A333" s="0" t="s">
        <v>363</v>
      </c>
      <c r="B333" s="2" t="n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P333" s="0" t="n">
        <v>72.4</v>
      </c>
      <c r="Q333" s="3" t="n">
        <f aca="false">IF($C333="Control",$P333,"")</f>
        <v>72.4</v>
      </c>
      <c r="R333" s="0" t="str">
        <f aca="false">IF($C333="Treatment",$P333,"")</f>
        <v/>
      </c>
      <c r="S333" s="0" t="str">
        <f aca="false">IF(AND($C333="Control",$K333=1),$L333,"")</f>
        <v/>
      </c>
      <c r="T333" s="0" t="str">
        <f aca="false">IF(AND($C333="Treatment",$K333=1),$L333,"")</f>
        <v/>
      </c>
    </row>
    <row r="334" customFormat="false" ht="15" hidden="false" customHeight="false" outlineLevel="0" collapsed="false">
      <c r="A334" s="0" t="s">
        <v>364</v>
      </c>
      <c r="B334" s="2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P334" s="0" t="n">
        <v>63.3</v>
      </c>
      <c r="Q334" s="3" t="n">
        <f aca="false">IF($C334="Control",$P334,"")</f>
        <v>63.3</v>
      </c>
      <c r="R334" s="0" t="str">
        <f aca="false">IF($C334="Treatment",$P334,"")</f>
        <v/>
      </c>
      <c r="S334" s="0" t="str">
        <f aca="false">IF(AND($C334="Control",$K334=1),$L334,"")</f>
        <v/>
      </c>
      <c r="T334" s="0" t="str">
        <f aca="false">IF(AND($C334="Treatment",$K334=1),$L334,"")</f>
        <v/>
      </c>
    </row>
    <row r="335" customFormat="false" ht="15" hidden="false" customHeight="false" outlineLevel="0" collapsed="false">
      <c r="A335" s="0" t="s">
        <v>365</v>
      </c>
      <c r="B335" s="2" t="n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P335" s="0" t="n">
        <v>30.8</v>
      </c>
      <c r="Q335" s="3" t="n">
        <f aca="false">IF($C335="Control",$P335,"")</f>
        <v>30.8</v>
      </c>
      <c r="R335" s="0" t="str">
        <f aca="false">IF($C335="Treatment",$P335,"")</f>
        <v/>
      </c>
      <c r="S335" s="0" t="str">
        <f aca="false">IF(AND($C335="Control",$K335=1),$L335,"")</f>
        <v/>
      </c>
      <c r="T335" s="0" t="str">
        <f aca="false">IF(AND($C335="Treatment",$K335=1),$L335,"")</f>
        <v/>
      </c>
    </row>
    <row r="336" customFormat="false" ht="15" hidden="false" customHeight="false" outlineLevel="0" collapsed="false">
      <c r="A336" s="0" t="s">
        <v>366</v>
      </c>
      <c r="B336" s="2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0" t="n">
        <v>1</v>
      </c>
      <c r="I336" s="0" t="n">
        <v>1</v>
      </c>
      <c r="J336" s="0" t="n">
        <v>1</v>
      </c>
      <c r="K336" s="0" t="n">
        <v>1</v>
      </c>
      <c r="L336" s="0" t="n">
        <v>874.55</v>
      </c>
      <c r="M336" s="0" t="n">
        <v>0</v>
      </c>
      <c r="N336" s="0" t="n">
        <v>0</v>
      </c>
      <c r="O336" s="0" t="n">
        <v>9</v>
      </c>
      <c r="P336" s="0" t="n">
        <v>44.2</v>
      </c>
      <c r="Q336" s="3" t="n">
        <f aca="false">IF($C336="Control",$P336,"")</f>
        <v>44.2</v>
      </c>
      <c r="R336" s="0" t="str">
        <f aca="false">IF($C336="Treatment",$P336,"")</f>
        <v/>
      </c>
      <c r="S336" s="3" t="n">
        <f aca="false">IF(AND($C336="Control",$K336=1),$L336,"")</f>
        <v>874.55</v>
      </c>
      <c r="T336" s="0" t="str">
        <f aca="false">IF(AND($C336="Treatment",$K336=1),$L336,"")</f>
        <v/>
      </c>
    </row>
    <row r="337" customFormat="false" ht="15" hidden="false" customHeight="false" outlineLevel="0" collapsed="false">
      <c r="A337" s="0" t="s">
        <v>367</v>
      </c>
      <c r="B337" s="2" t="n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0" t="n">
        <v>1</v>
      </c>
      <c r="I337" s="0" t="n">
        <v>1</v>
      </c>
      <c r="J337" s="0" t="n">
        <v>1</v>
      </c>
      <c r="K337" s="0" t="n">
        <v>1</v>
      </c>
      <c r="L337" s="0" t="n">
        <v>2206.88</v>
      </c>
      <c r="M337" s="0" t="n">
        <v>0</v>
      </c>
      <c r="N337" s="0" t="n">
        <v>0</v>
      </c>
      <c r="O337" s="0" t="n">
        <v>10</v>
      </c>
      <c r="P337" s="0" t="n">
        <v>56.2</v>
      </c>
      <c r="Q337" s="3" t="n">
        <f aca="false">IF($C337="Control",$P337,"")</f>
        <v>56.2</v>
      </c>
      <c r="R337" s="0" t="str">
        <f aca="false">IF($C337="Treatment",$P337,"")</f>
        <v/>
      </c>
      <c r="S337" s="3" t="n">
        <f aca="false">IF(AND($C337="Control",$K337=1),$L337,"")</f>
        <v>2206.88</v>
      </c>
      <c r="T337" s="0" t="str">
        <f aca="false">IF(AND($C337="Treatment",$K337=1),$L337,"")</f>
        <v/>
      </c>
    </row>
    <row r="338" customFormat="false" ht="15" hidden="false" customHeight="false" outlineLevel="0" collapsed="false">
      <c r="A338" s="0" t="s">
        <v>368</v>
      </c>
      <c r="B338" s="2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P338" s="0" t="n">
        <v>40.4</v>
      </c>
      <c r="Q338" s="3" t="n">
        <f aca="false">IF($C338="Control",$P338,"")</f>
        <v>40.4</v>
      </c>
      <c r="R338" s="0" t="str">
        <f aca="false">IF($C338="Treatment",$P338,"")</f>
        <v/>
      </c>
      <c r="S338" s="0" t="str">
        <f aca="false">IF(AND($C338="Control",$K338=1),$L338,"")</f>
        <v/>
      </c>
      <c r="T338" s="0" t="str">
        <f aca="false">IF(AND($C338="Treatment",$K338=1),$L338,"")</f>
        <v/>
      </c>
    </row>
    <row r="339" customFormat="false" ht="15" hidden="false" customHeight="false" outlineLevel="0" collapsed="false">
      <c r="A339" s="0" t="s">
        <v>369</v>
      </c>
      <c r="B339" s="2" t="n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0</v>
      </c>
      <c r="P339" s="0" t="n">
        <v>68.1</v>
      </c>
      <c r="Q339" s="3" t="n">
        <f aca="false">IF($C339="Control",$P339,"")</f>
        <v>68.1</v>
      </c>
      <c r="R339" s="0" t="str">
        <f aca="false">IF($C339="Treatment",$P339,"")</f>
        <v/>
      </c>
      <c r="S339" s="0" t="str">
        <f aca="false">IF(AND($C339="Control",$K339=1),$L339,"")</f>
        <v/>
      </c>
      <c r="T339" s="0" t="str">
        <f aca="false">IF(AND($C339="Treatment",$K339=1),$L339,"")</f>
        <v/>
      </c>
    </row>
    <row r="340" customFormat="false" ht="15" hidden="false" customHeight="false" outlineLevel="0" collapsed="false">
      <c r="A340" s="0" t="s">
        <v>370</v>
      </c>
      <c r="B340" s="2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P340" s="0" t="n">
        <v>86.3</v>
      </c>
      <c r="Q340" s="3" t="n">
        <f aca="false">IF($C340="Control",$P340,"")</f>
        <v>86.3</v>
      </c>
      <c r="R340" s="0" t="str">
        <f aca="false">IF($C340="Treatment",$P340,"")</f>
        <v/>
      </c>
      <c r="S340" s="0" t="str">
        <f aca="false">IF(AND($C340="Control",$K340=1),$L340,"")</f>
        <v/>
      </c>
      <c r="T340" s="0" t="str">
        <f aca="false">IF(AND($C340="Treatment",$K340=1),$L340,"")</f>
        <v/>
      </c>
    </row>
    <row r="341" customFormat="false" ht="15" hidden="false" customHeight="false" outlineLevel="0" collapsed="false">
      <c r="A341" s="0" t="s">
        <v>371</v>
      </c>
      <c r="B341" s="2" t="n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0" t="n">
        <v>1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P341" s="0" t="n">
        <v>42.9</v>
      </c>
      <c r="Q341" s="3" t="n">
        <f aca="false">IF($C341="Control",$P341,"")</f>
        <v>42.9</v>
      </c>
      <c r="R341" s="0" t="str">
        <f aca="false">IF($C341="Treatment",$P341,"")</f>
        <v/>
      </c>
      <c r="S341" s="0" t="str">
        <f aca="false">IF(AND($C341="Control",$K341=1),$L341,"")</f>
        <v/>
      </c>
      <c r="T341" s="0" t="str">
        <f aca="false">IF(AND($C341="Treatment",$K341=1),$L341,"")</f>
        <v/>
      </c>
    </row>
    <row r="342" customFormat="false" ht="15" hidden="false" customHeight="false" outlineLevel="0" collapsed="false">
      <c r="A342" s="0" t="s">
        <v>372</v>
      </c>
      <c r="B342" s="2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P342" s="0" t="n">
        <v>61.4</v>
      </c>
      <c r="Q342" s="3" t="n">
        <f aca="false">IF($C342="Control",$P342,"")</f>
        <v>61.4</v>
      </c>
      <c r="R342" s="0" t="str">
        <f aca="false">IF($C342="Treatment",$P342,"")</f>
        <v/>
      </c>
      <c r="S342" s="0" t="str">
        <f aca="false">IF(AND($C342="Control",$K342=1),$L342,"")</f>
        <v/>
      </c>
      <c r="T342" s="0" t="str">
        <f aca="false">IF(AND($C342="Treatment",$K342=1),$L342,"")</f>
        <v/>
      </c>
    </row>
    <row r="343" customFormat="false" ht="15" hidden="false" customHeight="false" outlineLevel="0" collapsed="false">
      <c r="A343" s="0" t="s">
        <v>373</v>
      </c>
      <c r="B343" s="2" t="n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P343" s="0" t="n">
        <v>73.3</v>
      </c>
      <c r="Q343" s="3" t="n">
        <f aca="false">IF($C343="Control",$P343,"")</f>
        <v>73.3</v>
      </c>
      <c r="R343" s="0" t="str">
        <f aca="false">IF($C343="Treatment",$P343,"")</f>
        <v/>
      </c>
      <c r="S343" s="0" t="str">
        <f aca="false">IF(AND($C343="Control",$K343=1),$L343,"")</f>
        <v/>
      </c>
      <c r="T343" s="0" t="str">
        <f aca="false">IF(AND($C343="Treatment",$K343=1),$L343,"")</f>
        <v/>
      </c>
    </row>
    <row r="344" customFormat="false" ht="15" hidden="false" customHeight="false" outlineLevel="0" collapsed="false">
      <c r="A344" s="0" t="s">
        <v>374</v>
      </c>
      <c r="B344" s="2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P344" s="0" t="n">
        <v>59.4</v>
      </c>
      <c r="Q344" s="3" t="n">
        <f aca="false">IF($C344="Control",$P344,"")</f>
        <v>59.4</v>
      </c>
      <c r="R344" s="0" t="str">
        <f aca="false">IF($C344="Treatment",$P344,"")</f>
        <v/>
      </c>
      <c r="S344" s="0" t="str">
        <f aca="false">IF(AND($C344="Control",$K344=1),$L344,"")</f>
        <v/>
      </c>
      <c r="T344" s="0" t="str">
        <f aca="false">IF(AND($C344="Treatment",$K344=1),$L344,"")</f>
        <v/>
      </c>
    </row>
    <row r="345" customFormat="false" ht="15" hidden="false" customHeight="false" outlineLevel="0" collapsed="false">
      <c r="A345" s="0" t="s">
        <v>375</v>
      </c>
      <c r="B345" s="2" t="n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P345" s="0" t="n">
        <v>35.2</v>
      </c>
      <c r="Q345" s="3" t="n">
        <f aca="false">IF($C345="Control",$P345,"")</f>
        <v>35.2</v>
      </c>
      <c r="R345" s="0" t="str">
        <f aca="false">IF($C345="Treatment",$P345,"")</f>
        <v/>
      </c>
      <c r="S345" s="0" t="str">
        <f aca="false">IF(AND($C345="Control",$K345=1),$L345,"")</f>
        <v/>
      </c>
      <c r="T345" s="0" t="str">
        <f aca="false">IF(AND($C345="Treatment",$K345=1),$L345,"")</f>
        <v/>
      </c>
    </row>
    <row r="346" customFormat="false" ht="15" hidden="false" customHeight="false" outlineLevel="0" collapsed="false">
      <c r="A346" s="0" t="s">
        <v>376</v>
      </c>
      <c r="B346" s="2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P346" s="0" t="n">
        <v>55.3</v>
      </c>
      <c r="Q346" s="3" t="n">
        <f aca="false">IF($C346="Control",$P346,"")</f>
        <v>55.3</v>
      </c>
      <c r="R346" s="0" t="str">
        <f aca="false">IF($C346="Treatment",$P346,"")</f>
        <v/>
      </c>
      <c r="S346" s="0" t="str">
        <f aca="false">IF(AND($C346="Control",$K346=1),$L346,"")</f>
        <v/>
      </c>
      <c r="T346" s="0" t="str">
        <f aca="false">IF(AND($C346="Treatment",$K346=1),$L346,"")</f>
        <v/>
      </c>
    </row>
    <row r="347" customFormat="false" ht="15" hidden="false" customHeight="false" outlineLevel="0" collapsed="false">
      <c r="A347" s="0" t="s">
        <v>377</v>
      </c>
      <c r="B347" s="2" t="n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P347" s="0" t="n">
        <v>37.5</v>
      </c>
      <c r="Q347" s="3" t="n">
        <f aca="false">IF($C347="Control",$P347,"")</f>
        <v>37.5</v>
      </c>
      <c r="R347" s="0" t="str">
        <f aca="false">IF($C347="Treatment",$P347,"")</f>
        <v/>
      </c>
      <c r="S347" s="0" t="str">
        <f aca="false">IF(AND($C347="Control",$K347=1),$L347,"")</f>
        <v/>
      </c>
      <c r="T347" s="0" t="str">
        <f aca="false">IF(AND($C347="Treatment",$K347=1),$L347,"")</f>
        <v/>
      </c>
    </row>
    <row r="348" customFormat="false" ht="15" hidden="false" customHeight="false" outlineLevel="0" collapsed="false">
      <c r="A348" s="0" t="s">
        <v>378</v>
      </c>
      <c r="B348" s="2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0</v>
      </c>
      <c r="P348" s="0" t="n">
        <v>66.4</v>
      </c>
      <c r="Q348" s="3" t="n">
        <f aca="false">IF($C348="Control",$P348,"")</f>
        <v>66.4</v>
      </c>
      <c r="R348" s="0" t="str">
        <f aca="false">IF($C348="Treatment",$P348,"")</f>
        <v/>
      </c>
      <c r="S348" s="0" t="str">
        <f aca="false">IF(AND($C348="Control",$K348=1),$L348,"")</f>
        <v/>
      </c>
      <c r="T348" s="0" t="str">
        <f aca="false">IF(AND($C348="Treatment",$K348=1),$L348,"")</f>
        <v/>
      </c>
    </row>
    <row r="349" customFormat="false" ht="15" hidden="false" customHeight="false" outlineLevel="0" collapsed="false">
      <c r="A349" s="0" t="s">
        <v>379</v>
      </c>
      <c r="B349" s="2" t="n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P349" s="0" t="n">
        <v>61.9</v>
      </c>
      <c r="Q349" s="3" t="n">
        <f aca="false">IF($C349="Control",$P349,"")</f>
        <v>61.9</v>
      </c>
      <c r="R349" s="0" t="str">
        <f aca="false">IF($C349="Treatment",$P349,"")</f>
        <v/>
      </c>
      <c r="S349" s="0" t="str">
        <f aca="false">IF(AND($C349="Control",$K349=1),$L349,"")</f>
        <v/>
      </c>
      <c r="T349" s="0" t="str">
        <f aca="false">IF(AND($C349="Treatment",$K349=1),$L349,"")</f>
        <v/>
      </c>
    </row>
    <row r="350" customFormat="false" ht="15" hidden="false" customHeight="false" outlineLevel="0" collapsed="false">
      <c r="A350" s="0" t="s">
        <v>380</v>
      </c>
      <c r="B350" s="2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P350" s="0" t="n">
        <v>56</v>
      </c>
      <c r="Q350" s="3" t="n">
        <f aca="false">IF($C350="Control",$P350,"")</f>
        <v>56</v>
      </c>
      <c r="R350" s="0" t="str">
        <f aca="false">IF($C350="Treatment",$P350,"")</f>
        <v/>
      </c>
      <c r="S350" s="0" t="str">
        <f aca="false">IF(AND($C350="Control",$K350=1),$L350,"")</f>
        <v/>
      </c>
      <c r="T350" s="0" t="str">
        <f aca="false">IF(AND($C350="Treatment",$K350=1),$L350,"")</f>
        <v/>
      </c>
    </row>
    <row r="351" customFormat="false" ht="15" hidden="false" customHeight="false" outlineLevel="0" collapsed="false">
      <c r="A351" s="0" t="s">
        <v>381</v>
      </c>
      <c r="B351" s="2" t="n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P351" s="0" t="n">
        <v>55.5</v>
      </c>
      <c r="Q351" s="3" t="n">
        <f aca="false">IF($C351="Control",$P351,"")</f>
        <v>55.5</v>
      </c>
      <c r="R351" s="0" t="str">
        <f aca="false">IF($C351="Treatment",$P351,"")</f>
        <v/>
      </c>
      <c r="S351" s="0" t="str">
        <f aca="false">IF(AND($C351="Control",$K351=1),$L351,"")</f>
        <v/>
      </c>
      <c r="T351" s="0" t="str">
        <f aca="false">IF(AND($C351="Treatment",$K351=1),$L351,"")</f>
        <v/>
      </c>
    </row>
    <row r="352" customFormat="false" ht="15" hidden="false" customHeight="false" outlineLevel="0" collapsed="false">
      <c r="A352" s="0" t="s">
        <v>382</v>
      </c>
      <c r="B352" s="2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P352" s="0" t="n">
        <v>37.2</v>
      </c>
      <c r="Q352" s="3" t="n">
        <f aca="false">IF($C352="Control",$P352,"")</f>
        <v>37.2</v>
      </c>
      <c r="R352" s="0" t="str">
        <f aca="false">IF($C352="Treatment",$P352,"")</f>
        <v/>
      </c>
      <c r="S352" s="0" t="str">
        <f aca="false">IF(AND($C352="Control",$K352=1),$L352,"")</f>
        <v/>
      </c>
      <c r="T352" s="0" t="str">
        <f aca="false">IF(AND($C352="Treatment",$K352=1),$L352,"")</f>
        <v/>
      </c>
    </row>
    <row r="353" customFormat="false" ht="15" hidden="false" customHeight="false" outlineLevel="0" collapsed="false">
      <c r="A353" s="0" t="s">
        <v>383</v>
      </c>
      <c r="B353" s="2" t="n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0" t="n">
        <v>1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P353" s="0" t="n">
        <v>70.5</v>
      </c>
      <c r="Q353" s="3" t="n">
        <f aca="false">IF($C353="Control",$P353,"")</f>
        <v>70.5</v>
      </c>
      <c r="R353" s="0" t="str">
        <f aca="false">IF($C353="Treatment",$P353,"")</f>
        <v/>
      </c>
      <c r="S353" s="0" t="str">
        <f aca="false">IF(AND($C353="Control",$K353=1),$L353,"")</f>
        <v/>
      </c>
      <c r="T353" s="0" t="str">
        <f aca="false">IF(AND($C353="Treatment",$K353=1),$L353,"")</f>
        <v/>
      </c>
    </row>
    <row r="354" customFormat="false" ht="15" hidden="false" customHeight="false" outlineLevel="0" collapsed="false">
      <c r="A354" s="0" t="s">
        <v>384</v>
      </c>
      <c r="B354" s="2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P354" s="0" t="n">
        <v>61.2</v>
      </c>
      <c r="Q354" s="3" t="n">
        <f aca="false">IF($C354="Control",$P354,"")</f>
        <v>61.2</v>
      </c>
      <c r="R354" s="0" t="str">
        <f aca="false">IF($C354="Treatment",$P354,"")</f>
        <v/>
      </c>
      <c r="S354" s="0" t="str">
        <f aca="false">IF(AND($C354="Control",$K354=1),$L354,"")</f>
        <v/>
      </c>
      <c r="T354" s="0" t="str">
        <f aca="false">IF(AND($C354="Treatment",$K354=1),$L354,"")</f>
        <v/>
      </c>
    </row>
    <row r="355" customFormat="false" ht="15" hidden="false" customHeight="false" outlineLevel="0" collapsed="false">
      <c r="A355" s="0" t="s">
        <v>385</v>
      </c>
      <c r="B355" s="2" t="n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0" t="n">
        <v>1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P355" s="0" t="n">
        <v>64.6</v>
      </c>
      <c r="Q355" s="3" t="n">
        <f aca="false">IF($C355="Control",$P355,"")</f>
        <v>64.6</v>
      </c>
      <c r="R355" s="0" t="str">
        <f aca="false">IF($C355="Treatment",$P355,"")</f>
        <v/>
      </c>
      <c r="S355" s="0" t="str">
        <f aca="false">IF(AND($C355="Control",$K355=1),$L355,"")</f>
        <v/>
      </c>
      <c r="T355" s="0" t="str">
        <f aca="false">IF(AND($C355="Treatment",$K355=1),$L355,"")</f>
        <v/>
      </c>
    </row>
    <row r="356" customFormat="false" ht="15" hidden="false" customHeight="false" outlineLevel="0" collapsed="false">
      <c r="A356" s="0" t="s">
        <v>386</v>
      </c>
      <c r="B356" s="2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0" t="n">
        <v>1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P356" s="0" t="n">
        <v>91.7</v>
      </c>
      <c r="Q356" s="3" t="n">
        <f aca="false">IF($C356="Control",$P356,"")</f>
        <v>91.7</v>
      </c>
      <c r="R356" s="0" t="str">
        <f aca="false">IF($C356="Treatment",$P356,"")</f>
        <v/>
      </c>
      <c r="S356" s="0" t="str">
        <f aca="false">IF(AND($C356="Control",$K356=1),$L356,"")</f>
        <v/>
      </c>
      <c r="T356" s="0" t="str">
        <f aca="false">IF(AND($C356="Treatment",$K356=1),$L356,"")</f>
        <v/>
      </c>
    </row>
    <row r="357" customFormat="false" ht="15" hidden="false" customHeight="false" outlineLevel="0" collapsed="false">
      <c r="A357" s="0" t="s">
        <v>387</v>
      </c>
      <c r="B357" s="2" t="n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P357" s="0" t="n">
        <v>46</v>
      </c>
      <c r="Q357" s="3" t="n">
        <f aca="false">IF($C357="Control",$P357,"")</f>
        <v>46</v>
      </c>
      <c r="R357" s="0" t="str">
        <f aca="false">IF($C357="Treatment",$P357,"")</f>
        <v/>
      </c>
      <c r="S357" s="0" t="str">
        <f aca="false">IF(AND($C357="Control",$K357=1),$L357,"")</f>
        <v/>
      </c>
      <c r="T357" s="0" t="str">
        <f aca="false">IF(AND($C357="Treatment",$K357=1),$L357,"")</f>
        <v/>
      </c>
    </row>
    <row r="358" customFormat="false" ht="15" hidden="false" customHeight="false" outlineLevel="0" collapsed="false">
      <c r="A358" s="0" t="s">
        <v>388</v>
      </c>
      <c r="B358" s="2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P358" s="0" t="n">
        <v>50.8</v>
      </c>
      <c r="Q358" s="3" t="n">
        <f aca="false">IF($C358="Control",$P358,"")</f>
        <v>50.8</v>
      </c>
      <c r="R358" s="0" t="str">
        <f aca="false">IF($C358="Treatment",$P358,"")</f>
        <v/>
      </c>
      <c r="S358" s="0" t="str">
        <f aca="false">IF(AND($C358="Control",$K358=1),$L358,"")</f>
        <v/>
      </c>
      <c r="T358" s="0" t="str">
        <f aca="false">IF(AND($C358="Treatment",$K358=1),$L358,"")</f>
        <v/>
      </c>
    </row>
    <row r="359" customFormat="false" ht="15" hidden="false" customHeight="false" outlineLevel="0" collapsed="false">
      <c r="A359" s="0" t="s">
        <v>389</v>
      </c>
      <c r="B359" s="2" t="n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0" t="n">
        <v>1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</v>
      </c>
      <c r="N359" s="0" t="n">
        <v>0</v>
      </c>
      <c r="P359" s="0" t="n">
        <v>52.8</v>
      </c>
      <c r="Q359" s="3" t="n">
        <f aca="false">IF($C359="Control",$P359,"")</f>
        <v>52.8</v>
      </c>
      <c r="R359" s="0" t="str">
        <f aca="false">IF($C359="Treatment",$P359,"")</f>
        <v/>
      </c>
      <c r="S359" s="0" t="str">
        <f aca="false">IF(AND($C359="Control",$K359=1),$L359,"")</f>
        <v/>
      </c>
      <c r="T359" s="0" t="str">
        <f aca="false">IF(AND($C359="Treatment",$K359=1),$L359,"")</f>
        <v/>
      </c>
    </row>
    <row r="360" customFormat="false" ht="15" hidden="false" customHeight="false" outlineLevel="0" collapsed="false">
      <c r="A360" s="0" t="s">
        <v>390</v>
      </c>
      <c r="B360" s="2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0" t="n">
        <v>1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</v>
      </c>
      <c r="N360" s="0" t="n">
        <v>0</v>
      </c>
      <c r="P360" s="0" t="n">
        <v>63</v>
      </c>
      <c r="Q360" s="3" t="n">
        <f aca="false">IF($C360="Control",$P360,"")</f>
        <v>63</v>
      </c>
      <c r="R360" s="0" t="str">
        <f aca="false">IF($C360="Treatment",$P360,"")</f>
        <v/>
      </c>
      <c r="S360" s="0" t="str">
        <f aca="false">IF(AND($C360="Control",$K360=1),$L360,"")</f>
        <v/>
      </c>
      <c r="T360" s="0" t="str">
        <f aca="false">IF(AND($C360="Treatment",$K360=1),$L360,"")</f>
        <v/>
      </c>
    </row>
    <row r="361" customFormat="false" ht="15" hidden="false" customHeight="false" outlineLevel="0" collapsed="false">
      <c r="A361" s="0" t="s">
        <v>391</v>
      </c>
      <c r="B361" s="2" t="n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P361" s="0" t="n">
        <v>28.4</v>
      </c>
      <c r="Q361" s="3" t="n">
        <f aca="false">IF($C361="Control",$P361,"")</f>
        <v>28.4</v>
      </c>
      <c r="R361" s="0" t="str">
        <f aca="false">IF($C361="Treatment",$P361,"")</f>
        <v/>
      </c>
      <c r="S361" s="0" t="str">
        <f aca="false">IF(AND($C361="Control",$K361=1),$L361,"")</f>
        <v/>
      </c>
      <c r="T361" s="0" t="str">
        <f aca="false">IF(AND($C361="Treatment",$K361=1),$L361,"")</f>
        <v/>
      </c>
    </row>
    <row r="362" customFormat="false" ht="15" hidden="false" customHeight="false" outlineLevel="0" collapsed="false">
      <c r="A362" s="0" t="s">
        <v>392</v>
      </c>
      <c r="B362" s="2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0" t="n">
        <v>1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P362" s="0" t="n">
        <v>65.6</v>
      </c>
      <c r="Q362" s="3" t="n">
        <f aca="false">IF($C362="Control",$P362,"")</f>
        <v>65.6</v>
      </c>
      <c r="R362" s="0" t="str">
        <f aca="false">IF($C362="Treatment",$P362,"")</f>
        <v/>
      </c>
      <c r="S362" s="0" t="str">
        <f aca="false">IF(AND($C362="Control",$K362=1),$L362,"")</f>
        <v/>
      </c>
      <c r="T362" s="0" t="str">
        <f aca="false">IF(AND($C362="Treatment",$K362=1),$L362,"")</f>
        <v/>
      </c>
    </row>
    <row r="363" customFormat="false" ht="15" hidden="false" customHeight="false" outlineLevel="0" collapsed="false">
      <c r="A363" s="0" t="s">
        <v>393</v>
      </c>
      <c r="B363" s="2" t="n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0" t="n">
        <v>1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P363" s="0" t="n">
        <v>54.7</v>
      </c>
      <c r="Q363" s="3" t="n">
        <f aca="false">IF($C363="Control",$P363,"")</f>
        <v>54.7</v>
      </c>
      <c r="R363" s="0" t="str">
        <f aca="false">IF($C363="Treatment",$P363,"")</f>
        <v/>
      </c>
      <c r="S363" s="0" t="str">
        <f aca="false">IF(AND($C363="Control",$K363=1),$L363,"")</f>
        <v/>
      </c>
      <c r="T363" s="0" t="str">
        <f aca="false">IF(AND($C363="Treatment",$K363=1),$L363,"")</f>
        <v/>
      </c>
    </row>
    <row r="364" customFormat="false" ht="15" hidden="false" customHeight="false" outlineLevel="0" collapsed="false">
      <c r="A364" s="0" t="s">
        <v>394</v>
      </c>
      <c r="B364" s="2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P364" s="0" t="n">
        <v>36.1</v>
      </c>
      <c r="Q364" s="3" t="n">
        <f aca="false">IF($C364="Control",$P364,"")</f>
        <v>36.1</v>
      </c>
      <c r="R364" s="0" t="str">
        <f aca="false">IF($C364="Treatment",$P364,"")</f>
        <v/>
      </c>
      <c r="S364" s="0" t="str">
        <f aca="false">IF(AND($C364="Control",$K364=1),$L364,"")</f>
        <v/>
      </c>
      <c r="T364" s="0" t="str">
        <f aca="false">IF(AND($C364="Treatment",$K364=1),$L364,"")</f>
        <v/>
      </c>
    </row>
    <row r="365" customFormat="false" ht="15" hidden="false" customHeight="false" outlineLevel="0" collapsed="false">
      <c r="A365" s="0" t="s">
        <v>395</v>
      </c>
      <c r="B365" s="2" t="n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0" t="n">
        <v>1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P365" s="0" t="n">
        <v>70.4</v>
      </c>
      <c r="Q365" s="3" t="n">
        <f aca="false">IF($C365="Control",$P365,"")</f>
        <v>70.4</v>
      </c>
      <c r="R365" s="0" t="str">
        <f aca="false">IF($C365="Treatment",$P365,"")</f>
        <v/>
      </c>
      <c r="S365" s="0" t="str">
        <f aca="false">IF(AND($C365="Control",$K365=1),$L365,"")</f>
        <v/>
      </c>
      <c r="T365" s="0" t="str">
        <f aca="false">IF(AND($C365="Treatment",$K365=1),$L365,"")</f>
        <v/>
      </c>
    </row>
    <row r="366" customFormat="false" ht="15" hidden="false" customHeight="false" outlineLevel="0" collapsed="false">
      <c r="A366" s="0" t="s">
        <v>396</v>
      </c>
      <c r="B366" s="2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0" t="n">
        <v>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P366" s="0" t="n">
        <v>56.4</v>
      </c>
      <c r="Q366" s="3" t="n">
        <f aca="false">IF($C366="Control",$P366,"")</f>
        <v>56.4</v>
      </c>
      <c r="R366" s="0" t="str">
        <f aca="false">IF($C366="Treatment",$P366,"")</f>
        <v/>
      </c>
      <c r="S366" s="0" t="str">
        <f aca="false">IF(AND($C366="Control",$K366=1),$L366,"")</f>
        <v/>
      </c>
      <c r="T366" s="0" t="str">
        <f aca="false">IF(AND($C366="Treatment",$K366=1),$L366,"")</f>
        <v/>
      </c>
    </row>
    <row r="367" customFormat="false" ht="15" hidden="false" customHeight="false" outlineLevel="0" collapsed="false">
      <c r="A367" s="0" t="s">
        <v>397</v>
      </c>
      <c r="B367" s="2" t="n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P367" s="0" t="n">
        <v>79.2</v>
      </c>
      <c r="Q367" s="3" t="n">
        <f aca="false">IF($C367="Control",$P367,"")</f>
        <v>79.2</v>
      </c>
      <c r="R367" s="0" t="str">
        <f aca="false">IF($C367="Treatment",$P367,"")</f>
        <v/>
      </c>
      <c r="S367" s="0" t="str">
        <f aca="false">IF(AND($C367="Control",$K367=1),$L367,"")</f>
        <v/>
      </c>
      <c r="T367" s="0" t="str">
        <f aca="false">IF(AND($C367="Treatment",$K367=1),$L367,"")</f>
        <v/>
      </c>
    </row>
    <row r="368" customFormat="false" ht="15" hidden="false" customHeight="false" outlineLevel="0" collapsed="false">
      <c r="A368" s="0" t="s">
        <v>398</v>
      </c>
      <c r="B368" s="2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0" t="n">
        <v>1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0</v>
      </c>
      <c r="P368" s="0" t="n">
        <v>60.1</v>
      </c>
      <c r="Q368" s="3" t="n">
        <f aca="false">IF($C368="Control",$P368,"")</f>
        <v>60.1</v>
      </c>
      <c r="R368" s="0" t="str">
        <f aca="false">IF($C368="Treatment",$P368,"")</f>
        <v/>
      </c>
      <c r="S368" s="0" t="str">
        <f aca="false">IF(AND($C368="Control",$K368=1),$L368,"")</f>
        <v/>
      </c>
      <c r="T368" s="0" t="str">
        <f aca="false">IF(AND($C368="Treatment",$K368=1),$L368,"")</f>
        <v/>
      </c>
    </row>
    <row r="369" customFormat="false" ht="15" hidden="false" customHeight="false" outlineLevel="0" collapsed="false">
      <c r="A369" s="0" t="s">
        <v>399</v>
      </c>
      <c r="B369" s="2" t="n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P369" s="0" t="n">
        <v>58</v>
      </c>
      <c r="Q369" s="3" t="n">
        <f aca="false">IF($C369="Control",$P369,"")</f>
        <v>58</v>
      </c>
      <c r="R369" s="0" t="str">
        <f aca="false">IF($C369="Treatment",$P369,"")</f>
        <v/>
      </c>
      <c r="S369" s="0" t="str">
        <f aca="false">IF(AND($C369="Control",$K369=1),$L369,"")</f>
        <v/>
      </c>
      <c r="T369" s="0" t="str">
        <f aca="false">IF(AND($C369="Treatment",$K369=1),$L369,"")</f>
        <v/>
      </c>
    </row>
    <row r="370" customFormat="false" ht="15" hidden="false" customHeight="false" outlineLevel="0" collapsed="false">
      <c r="A370" s="0" t="s">
        <v>400</v>
      </c>
      <c r="B370" s="2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0" t="n">
        <v>1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P370" s="0" t="n">
        <v>69</v>
      </c>
      <c r="Q370" s="3" t="n">
        <f aca="false">IF($C370="Control",$P370,"")</f>
        <v>69</v>
      </c>
      <c r="R370" s="0" t="str">
        <f aca="false">IF($C370="Treatment",$P370,"")</f>
        <v/>
      </c>
      <c r="S370" s="0" t="str">
        <f aca="false">IF(AND($C370="Control",$K370=1),$L370,"")</f>
        <v/>
      </c>
      <c r="T370" s="0" t="str">
        <f aca="false">IF(AND($C370="Treatment",$K370=1),$L370,"")</f>
        <v/>
      </c>
    </row>
    <row r="371" customFormat="false" ht="15" hidden="false" customHeight="false" outlineLevel="0" collapsed="false">
      <c r="A371" s="0" t="s">
        <v>401</v>
      </c>
      <c r="B371" s="2" t="n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0" t="n">
        <v>1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1</v>
      </c>
      <c r="N371" s="0" t="n">
        <v>0</v>
      </c>
      <c r="P371" s="0" t="n">
        <v>80.8</v>
      </c>
      <c r="Q371" s="3" t="n">
        <f aca="false">IF($C371="Control",$P371,"")</f>
        <v>80.8</v>
      </c>
      <c r="R371" s="0" t="str">
        <f aca="false">IF($C371="Treatment",$P371,"")</f>
        <v/>
      </c>
      <c r="S371" s="0" t="str">
        <f aca="false">IF(AND($C371="Control",$K371=1),$L371,"")</f>
        <v/>
      </c>
      <c r="T371" s="0" t="str">
        <f aca="false">IF(AND($C371="Treatment",$K371=1),$L371,"")</f>
        <v/>
      </c>
    </row>
    <row r="372" customFormat="false" ht="15" hidden="false" customHeight="false" outlineLevel="0" collapsed="false">
      <c r="A372" s="0" t="s">
        <v>402</v>
      </c>
      <c r="B372" s="2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P372" s="0" t="n">
        <v>32.8</v>
      </c>
      <c r="Q372" s="3" t="n">
        <f aca="false">IF($C372="Control",$P372,"")</f>
        <v>32.8</v>
      </c>
      <c r="R372" s="0" t="str">
        <f aca="false">IF($C372="Treatment",$P372,"")</f>
        <v/>
      </c>
      <c r="S372" s="0" t="str">
        <f aca="false">IF(AND($C372="Control",$K372=1),$L372,"")</f>
        <v/>
      </c>
      <c r="T372" s="0" t="str">
        <f aca="false">IF(AND($C372="Treatment",$K372=1),$L372,"")</f>
        <v/>
      </c>
    </row>
    <row r="373" customFormat="false" ht="15" hidden="false" customHeight="false" outlineLevel="0" collapsed="false">
      <c r="A373" s="0" t="s">
        <v>403</v>
      </c>
      <c r="B373" s="2" t="n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P373" s="0" t="n">
        <v>56</v>
      </c>
      <c r="Q373" s="3" t="n">
        <f aca="false">IF($C373="Control",$P373,"")</f>
        <v>56</v>
      </c>
      <c r="R373" s="0" t="str">
        <f aca="false">IF($C373="Treatment",$P373,"")</f>
        <v/>
      </c>
      <c r="S373" s="0" t="str">
        <f aca="false">IF(AND($C373="Control",$K373=1),$L373,"")</f>
        <v/>
      </c>
      <c r="T373" s="0" t="str">
        <f aca="false">IF(AND($C373="Treatment",$K373=1),$L373,"")</f>
        <v/>
      </c>
    </row>
    <row r="374" customFormat="false" ht="15" hidden="false" customHeight="false" outlineLevel="0" collapsed="false">
      <c r="A374" s="0" t="s">
        <v>404</v>
      </c>
      <c r="B374" s="2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P374" s="0" t="n">
        <v>76.4</v>
      </c>
      <c r="Q374" s="3" t="n">
        <f aca="false">IF($C374="Control",$P374,"")</f>
        <v>76.4</v>
      </c>
      <c r="R374" s="0" t="str">
        <f aca="false">IF($C374="Treatment",$P374,"")</f>
        <v/>
      </c>
      <c r="S374" s="0" t="str">
        <f aca="false">IF(AND($C374="Control",$K374=1),$L374,"")</f>
        <v/>
      </c>
      <c r="T374" s="0" t="str">
        <f aca="false">IF(AND($C374="Treatment",$K374=1),$L374,"")</f>
        <v/>
      </c>
    </row>
    <row r="375" customFormat="false" ht="15" hidden="false" customHeight="false" outlineLevel="0" collapsed="false">
      <c r="A375" s="0" t="s">
        <v>405</v>
      </c>
      <c r="B375" s="2" t="n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P375" s="0" t="n">
        <v>28.5</v>
      </c>
      <c r="Q375" s="3" t="n">
        <f aca="false">IF($C375="Control",$P375,"")</f>
        <v>28.5</v>
      </c>
      <c r="R375" s="0" t="str">
        <f aca="false">IF($C375="Treatment",$P375,"")</f>
        <v/>
      </c>
      <c r="S375" s="0" t="str">
        <f aca="false">IF(AND($C375="Control",$K375=1),$L375,"")</f>
        <v/>
      </c>
      <c r="T375" s="0" t="str">
        <f aca="false">IF(AND($C375="Treatment",$K375=1),$L375,"")</f>
        <v/>
      </c>
    </row>
    <row r="376" customFormat="false" ht="15" hidden="false" customHeight="false" outlineLevel="0" collapsed="false">
      <c r="A376" s="0" t="s">
        <v>406</v>
      </c>
      <c r="B376" s="2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0" t="n">
        <v>1</v>
      </c>
      <c r="I376" s="0" t="n">
        <v>1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0</v>
      </c>
      <c r="P376" s="0" t="n">
        <v>48.3</v>
      </c>
      <c r="Q376" s="3" t="n">
        <f aca="false">IF($C376="Control",$P376,"")</f>
        <v>48.3</v>
      </c>
      <c r="R376" s="0" t="str">
        <f aca="false">IF($C376="Treatment",$P376,"")</f>
        <v/>
      </c>
      <c r="S376" s="0" t="str">
        <f aca="false">IF(AND($C376="Control",$K376=1),$L376,"")</f>
        <v/>
      </c>
      <c r="T376" s="0" t="str">
        <f aca="false">IF(AND($C376="Treatment",$K376=1),$L376,"")</f>
        <v/>
      </c>
    </row>
    <row r="377" customFormat="false" ht="15" hidden="false" customHeight="false" outlineLevel="0" collapsed="false">
      <c r="A377" s="0" t="s">
        <v>407</v>
      </c>
      <c r="B377" s="2" t="n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0" t="n">
        <v>1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P377" s="0" t="n">
        <v>43.4</v>
      </c>
      <c r="Q377" s="3" t="n">
        <f aca="false">IF($C377="Control",$P377,"")</f>
        <v>43.4</v>
      </c>
      <c r="R377" s="0" t="str">
        <f aca="false">IF($C377="Treatment",$P377,"")</f>
        <v/>
      </c>
      <c r="S377" s="0" t="str">
        <f aca="false">IF(AND($C377="Control",$K377=1),$L377,"")</f>
        <v/>
      </c>
      <c r="T377" s="0" t="str">
        <f aca="false">IF(AND($C377="Treatment",$K377=1),$L377,"")</f>
        <v/>
      </c>
    </row>
    <row r="378" customFormat="false" ht="15" hidden="false" customHeight="false" outlineLevel="0" collapsed="false">
      <c r="A378" s="0" t="s">
        <v>408</v>
      </c>
      <c r="B378" s="2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P378" s="0" t="n">
        <v>43</v>
      </c>
      <c r="Q378" s="3" t="n">
        <f aca="false">IF($C378="Control",$P378,"")</f>
        <v>43</v>
      </c>
      <c r="R378" s="0" t="str">
        <f aca="false">IF($C378="Treatment",$P378,"")</f>
        <v/>
      </c>
      <c r="S378" s="0" t="str">
        <f aca="false">IF(AND($C378="Control",$K378=1),$L378,"")</f>
        <v/>
      </c>
      <c r="T378" s="0" t="str">
        <f aca="false">IF(AND($C378="Treatment",$K378=1),$L378,"")</f>
        <v/>
      </c>
    </row>
    <row r="379" customFormat="false" ht="15" hidden="false" customHeight="false" outlineLevel="0" collapsed="false">
      <c r="A379" s="0" t="s">
        <v>409</v>
      </c>
      <c r="B379" s="2" t="n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0" t="n">
        <v>1</v>
      </c>
      <c r="I379" s="0" t="n">
        <v>1</v>
      </c>
      <c r="J379" s="0" t="n">
        <v>1</v>
      </c>
      <c r="K379" s="0" t="n">
        <v>0</v>
      </c>
      <c r="L379" s="0" t="n">
        <v>0</v>
      </c>
      <c r="M379" s="0" t="n">
        <v>0</v>
      </c>
      <c r="N379" s="0" t="n">
        <v>0</v>
      </c>
      <c r="P379" s="0" t="n">
        <v>91.8</v>
      </c>
      <c r="Q379" s="3" t="n">
        <f aca="false">IF($C379="Control",$P379,"")</f>
        <v>91.8</v>
      </c>
      <c r="R379" s="0" t="str">
        <f aca="false">IF($C379="Treatment",$P379,"")</f>
        <v/>
      </c>
      <c r="S379" s="0" t="str">
        <f aca="false">IF(AND($C379="Control",$K379=1),$L379,"")</f>
        <v/>
      </c>
      <c r="T379" s="0" t="str">
        <f aca="false">IF(AND($C379="Treatment",$K379=1),$L379,"")</f>
        <v/>
      </c>
    </row>
    <row r="380" customFormat="false" ht="15" hidden="false" customHeight="false" outlineLevel="0" collapsed="false">
      <c r="A380" s="0" t="s">
        <v>410</v>
      </c>
      <c r="B380" s="2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P380" s="0" t="n">
        <v>69.3</v>
      </c>
      <c r="Q380" s="3" t="n">
        <f aca="false">IF($C380="Control",$P380,"")</f>
        <v>69.3</v>
      </c>
      <c r="R380" s="0" t="str">
        <f aca="false">IF($C380="Treatment",$P380,"")</f>
        <v/>
      </c>
      <c r="S380" s="0" t="str">
        <f aca="false">IF(AND($C380="Control",$K380=1),$L380,"")</f>
        <v/>
      </c>
      <c r="T380" s="0" t="str">
        <f aca="false">IF(AND($C380="Treatment",$K380=1),$L380,"")</f>
        <v/>
      </c>
    </row>
    <row r="381" customFormat="false" ht="15" hidden="false" customHeight="false" outlineLevel="0" collapsed="false">
      <c r="A381" s="0" t="s">
        <v>411</v>
      </c>
      <c r="B381" s="2" t="n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P381" s="0" t="n">
        <v>58.9</v>
      </c>
      <c r="Q381" s="3" t="n">
        <f aca="false">IF($C381="Control",$P381,"")</f>
        <v>58.9</v>
      </c>
      <c r="R381" s="0" t="str">
        <f aca="false">IF($C381="Treatment",$P381,"")</f>
        <v/>
      </c>
      <c r="S381" s="0" t="str">
        <f aca="false">IF(AND($C381="Control",$K381=1),$L381,"")</f>
        <v/>
      </c>
      <c r="T381" s="0" t="str">
        <f aca="false">IF(AND($C381="Treatment",$K381=1),$L381,"")</f>
        <v/>
      </c>
    </row>
    <row r="382" customFormat="false" ht="15" hidden="false" customHeight="false" outlineLevel="0" collapsed="false">
      <c r="A382" s="0" t="s">
        <v>412</v>
      </c>
      <c r="B382" s="2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0" t="n">
        <v>1</v>
      </c>
      <c r="I382" s="0" t="n">
        <v>1</v>
      </c>
      <c r="J382" s="0" t="n">
        <v>1</v>
      </c>
      <c r="K382" s="0" t="n">
        <v>0</v>
      </c>
      <c r="L382" s="0" t="n">
        <v>0</v>
      </c>
      <c r="M382" s="0" t="n">
        <v>0</v>
      </c>
      <c r="N382" s="0" t="n">
        <v>0</v>
      </c>
      <c r="P382" s="0" t="n">
        <v>76</v>
      </c>
      <c r="Q382" s="3" t="n">
        <f aca="false">IF($C382="Control",$P382,"")</f>
        <v>76</v>
      </c>
      <c r="R382" s="0" t="str">
        <f aca="false">IF($C382="Treatment",$P382,"")</f>
        <v/>
      </c>
      <c r="S382" s="0" t="str">
        <f aca="false">IF(AND($C382="Control",$K382=1),$L382,"")</f>
        <v/>
      </c>
      <c r="T382" s="0" t="str">
        <f aca="false">IF(AND($C382="Treatment",$K382=1),$L382,"")</f>
        <v/>
      </c>
    </row>
    <row r="383" customFormat="false" ht="15" hidden="false" customHeight="false" outlineLevel="0" collapsed="false">
      <c r="A383" s="0" t="s">
        <v>413</v>
      </c>
      <c r="B383" s="2" t="n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P383" s="0" t="n">
        <v>46</v>
      </c>
      <c r="Q383" s="3" t="n">
        <f aca="false">IF($C383="Control",$P383,"")</f>
        <v>46</v>
      </c>
      <c r="R383" s="0" t="str">
        <f aca="false">IF($C383="Treatment",$P383,"")</f>
        <v/>
      </c>
      <c r="S383" s="0" t="str">
        <f aca="false">IF(AND($C383="Control",$K383=1),$L383,"")</f>
        <v/>
      </c>
      <c r="T383" s="0" t="str">
        <f aca="false">IF(AND($C383="Treatment",$K383=1),$L383,"")</f>
        <v/>
      </c>
    </row>
    <row r="384" customFormat="false" ht="15" hidden="false" customHeight="false" outlineLevel="0" collapsed="false">
      <c r="A384" s="0" t="s">
        <v>414</v>
      </c>
      <c r="B384" s="2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P384" s="0" t="n">
        <v>54.1</v>
      </c>
      <c r="Q384" s="3" t="n">
        <f aca="false">IF($C384="Control",$P384,"")</f>
        <v>54.1</v>
      </c>
      <c r="R384" s="0" t="str">
        <f aca="false">IF($C384="Treatment",$P384,"")</f>
        <v/>
      </c>
      <c r="S384" s="0" t="str">
        <f aca="false">IF(AND($C384="Control",$K384=1),$L384,"")</f>
        <v/>
      </c>
      <c r="T384" s="0" t="str">
        <f aca="false">IF(AND($C384="Treatment",$K384=1),$L384,"")</f>
        <v/>
      </c>
    </row>
    <row r="385" customFormat="false" ht="15" hidden="false" customHeight="false" outlineLevel="0" collapsed="false">
      <c r="A385" s="0" t="s">
        <v>415</v>
      </c>
      <c r="B385" s="2" t="n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P385" s="0" t="n">
        <v>82.4</v>
      </c>
      <c r="Q385" s="3" t="n">
        <f aca="false">IF($C385="Control",$P385,"")</f>
        <v>82.4</v>
      </c>
      <c r="R385" s="0" t="str">
        <f aca="false">IF($C385="Treatment",$P385,"")</f>
        <v/>
      </c>
      <c r="S385" s="0" t="str">
        <f aca="false">IF(AND($C385="Control",$K385=1),$L385,"")</f>
        <v/>
      </c>
      <c r="T385" s="0" t="str">
        <f aca="false">IF(AND($C385="Treatment",$K385=1),$L385,"")</f>
        <v/>
      </c>
    </row>
    <row r="386" customFormat="false" ht="15" hidden="false" customHeight="false" outlineLevel="0" collapsed="false">
      <c r="A386" s="0" t="s">
        <v>416</v>
      </c>
      <c r="B386" s="2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0" t="n">
        <v>1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P386" s="0" t="n">
        <v>71.9</v>
      </c>
      <c r="Q386" s="3" t="n">
        <f aca="false">IF($C386="Control",$P386,"")</f>
        <v>71.9</v>
      </c>
      <c r="R386" s="0" t="str">
        <f aca="false">IF($C386="Treatment",$P386,"")</f>
        <v/>
      </c>
      <c r="S386" s="0" t="str">
        <f aca="false">IF(AND($C386="Control",$K386=1),$L386,"")</f>
        <v/>
      </c>
      <c r="T386" s="0" t="str">
        <f aca="false">IF(AND($C386="Treatment",$K386=1),$L386,"")</f>
        <v/>
      </c>
    </row>
    <row r="387" customFormat="false" ht="15" hidden="false" customHeight="false" outlineLevel="0" collapsed="false">
      <c r="A387" s="0" t="s">
        <v>417</v>
      </c>
      <c r="B387" s="2" t="n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2</v>
      </c>
      <c r="N387" s="0" t="n">
        <v>0</v>
      </c>
      <c r="P387" s="0" t="n">
        <v>38</v>
      </c>
      <c r="Q387" s="3" t="n">
        <f aca="false">IF($C387="Control",$P387,"")</f>
        <v>38</v>
      </c>
      <c r="R387" s="0" t="str">
        <f aca="false">IF($C387="Treatment",$P387,"")</f>
        <v/>
      </c>
      <c r="S387" s="0" t="str">
        <f aca="false">IF(AND($C387="Control",$K387=1),$L387,"")</f>
        <v/>
      </c>
      <c r="T387" s="0" t="str">
        <f aca="false">IF(AND($C387="Treatment",$K387=1),$L387,"")</f>
        <v/>
      </c>
    </row>
    <row r="388" customFormat="false" ht="15" hidden="false" customHeight="false" outlineLevel="0" collapsed="false">
      <c r="A388" s="0" t="s">
        <v>418</v>
      </c>
      <c r="B388" s="2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0" t="n">
        <v>1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P388" s="0" t="n">
        <v>43.7</v>
      </c>
      <c r="Q388" s="3" t="n">
        <f aca="false">IF($C388="Control",$P388,"")</f>
        <v>43.7</v>
      </c>
      <c r="R388" s="0" t="str">
        <f aca="false">IF($C388="Treatment",$P388,"")</f>
        <v/>
      </c>
      <c r="S388" s="0" t="str">
        <f aca="false">IF(AND($C388="Control",$K388=1),$L388,"")</f>
        <v/>
      </c>
      <c r="T388" s="0" t="str">
        <f aca="false">IF(AND($C388="Treatment",$K388=1),$L388,"")</f>
        <v/>
      </c>
    </row>
    <row r="389" customFormat="false" ht="15" hidden="false" customHeight="false" outlineLevel="0" collapsed="false">
      <c r="A389" s="0" t="s">
        <v>419</v>
      </c>
      <c r="B389" s="2" t="n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0</v>
      </c>
      <c r="P389" s="0" t="n">
        <v>32.2</v>
      </c>
      <c r="Q389" s="3" t="n">
        <f aca="false">IF($C389="Control",$P389,"")</f>
        <v>32.2</v>
      </c>
      <c r="R389" s="0" t="str">
        <f aca="false">IF($C389="Treatment",$P389,"")</f>
        <v/>
      </c>
      <c r="S389" s="0" t="str">
        <f aca="false">IF(AND($C389="Control",$K389=1),$L389,"")</f>
        <v/>
      </c>
      <c r="T389" s="0" t="str">
        <f aca="false">IF(AND($C389="Treatment",$K389=1),$L389,"")</f>
        <v/>
      </c>
    </row>
    <row r="390" customFormat="false" ht="15" hidden="false" customHeight="false" outlineLevel="0" collapsed="false">
      <c r="A390" s="0" t="s">
        <v>420</v>
      </c>
      <c r="B390" s="2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P390" s="0" t="n">
        <v>61</v>
      </c>
      <c r="Q390" s="3" t="n">
        <f aca="false">IF($C390="Control",$P390,"")</f>
        <v>61</v>
      </c>
      <c r="R390" s="0" t="str">
        <f aca="false">IF($C390="Treatment",$P390,"")</f>
        <v/>
      </c>
      <c r="S390" s="0" t="str">
        <f aca="false">IF(AND($C390="Control",$K390=1),$L390,"")</f>
        <v/>
      </c>
      <c r="T390" s="0" t="str">
        <f aca="false">IF(AND($C390="Treatment",$K390=1),$L390,"")</f>
        <v/>
      </c>
    </row>
    <row r="391" customFormat="false" ht="15" hidden="false" customHeight="false" outlineLevel="0" collapsed="false">
      <c r="A391" s="0" t="s">
        <v>421</v>
      </c>
      <c r="B391" s="2" t="n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P391" s="0" t="n">
        <v>49</v>
      </c>
      <c r="Q391" s="3" t="n">
        <f aca="false">IF($C391="Control",$P391,"")</f>
        <v>49</v>
      </c>
      <c r="R391" s="0" t="str">
        <f aca="false">IF($C391="Treatment",$P391,"")</f>
        <v/>
      </c>
      <c r="S391" s="0" t="str">
        <f aca="false">IF(AND($C391="Control",$K391=1),$L391,"")</f>
        <v/>
      </c>
      <c r="T391" s="0" t="str">
        <f aca="false">IF(AND($C391="Treatment",$K391=1),$L391,"")</f>
        <v/>
      </c>
    </row>
    <row r="392" customFormat="false" ht="15" hidden="false" customHeight="false" outlineLevel="0" collapsed="false">
      <c r="A392" s="0" t="s">
        <v>422</v>
      </c>
      <c r="B392" s="2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P392" s="0" t="n">
        <v>48.1</v>
      </c>
      <c r="Q392" s="3" t="n">
        <f aca="false">IF($C392="Control",$P392,"")</f>
        <v>48.1</v>
      </c>
      <c r="R392" s="0" t="str">
        <f aca="false">IF($C392="Treatment",$P392,"")</f>
        <v/>
      </c>
      <c r="S392" s="0" t="str">
        <f aca="false">IF(AND($C392="Control",$K392=1),$L392,"")</f>
        <v/>
      </c>
      <c r="T392" s="0" t="str">
        <f aca="false">IF(AND($C392="Treatment",$K392=1),$L392,"")</f>
        <v/>
      </c>
    </row>
    <row r="393" customFormat="false" ht="15" hidden="false" customHeight="false" outlineLevel="0" collapsed="false">
      <c r="A393" s="0" t="s">
        <v>423</v>
      </c>
      <c r="B393" s="2" t="n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2</v>
      </c>
      <c r="N393" s="0" t="n">
        <v>0</v>
      </c>
      <c r="P393" s="0" t="n">
        <v>46.3</v>
      </c>
      <c r="Q393" s="3" t="n">
        <f aca="false">IF($C393="Control",$P393,"")</f>
        <v>46.3</v>
      </c>
      <c r="R393" s="0" t="str">
        <f aca="false">IF($C393="Treatment",$P393,"")</f>
        <v/>
      </c>
      <c r="S393" s="0" t="str">
        <f aca="false">IF(AND($C393="Control",$K393=1),$L393,"")</f>
        <v/>
      </c>
      <c r="T393" s="0" t="str">
        <f aca="false">IF(AND($C393="Treatment",$K393=1),$L393,"")</f>
        <v/>
      </c>
    </row>
    <row r="394" customFormat="false" ht="15" hidden="false" customHeight="false" outlineLevel="0" collapsed="false">
      <c r="A394" s="0" t="s">
        <v>424</v>
      </c>
      <c r="B394" s="2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P394" s="0" t="n">
        <v>64</v>
      </c>
      <c r="Q394" s="3" t="n">
        <f aca="false">IF($C394="Control",$P394,"")</f>
        <v>64</v>
      </c>
      <c r="R394" s="0" t="str">
        <f aca="false">IF($C394="Treatment",$P394,"")</f>
        <v/>
      </c>
      <c r="S394" s="0" t="str">
        <f aca="false">IF(AND($C394="Control",$K394=1),$L394,"")</f>
        <v/>
      </c>
      <c r="T394" s="0" t="str">
        <f aca="false">IF(AND($C394="Treatment",$K394=1),$L394,"")</f>
        <v/>
      </c>
    </row>
    <row r="395" customFormat="false" ht="15" hidden="false" customHeight="false" outlineLevel="0" collapsed="false">
      <c r="A395" s="0" t="s">
        <v>425</v>
      </c>
      <c r="B395" s="2" t="n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0" t="n">
        <v>1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P395" s="0" t="n">
        <v>56.2</v>
      </c>
      <c r="Q395" s="3" t="n">
        <f aca="false">IF($C395="Control",$P395,"")</f>
        <v>56.2</v>
      </c>
      <c r="R395" s="0" t="str">
        <f aca="false">IF($C395="Treatment",$P395,"")</f>
        <v/>
      </c>
      <c r="S395" s="0" t="str">
        <f aca="false">IF(AND($C395="Control",$K395=1),$L395,"")</f>
        <v/>
      </c>
      <c r="T395" s="0" t="str">
        <f aca="false">IF(AND($C395="Treatment",$K395=1),$L395,"")</f>
        <v/>
      </c>
    </row>
    <row r="396" customFormat="false" ht="15" hidden="false" customHeight="false" outlineLevel="0" collapsed="false">
      <c r="A396" s="0" t="s">
        <v>426</v>
      </c>
      <c r="B396" s="2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0" t="n">
        <v>1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0</v>
      </c>
      <c r="P396" s="0" t="n">
        <v>77.5</v>
      </c>
      <c r="Q396" s="3" t="n">
        <f aca="false">IF($C396="Control",$P396,"")</f>
        <v>77.5</v>
      </c>
      <c r="R396" s="0" t="str">
        <f aca="false">IF($C396="Treatment",$P396,"")</f>
        <v/>
      </c>
      <c r="S396" s="0" t="str">
        <f aca="false">IF(AND($C396="Control",$K396=1),$L396,"")</f>
        <v/>
      </c>
      <c r="T396" s="0" t="str">
        <f aca="false">IF(AND($C396="Treatment",$K396=1),$L396,"")</f>
        <v/>
      </c>
    </row>
    <row r="397" customFormat="false" ht="15" hidden="false" customHeight="false" outlineLevel="0" collapsed="false">
      <c r="A397" s="0" t="s">
        <v>427</v>
      </c>
      <c r="B397" s="2" t="n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P397" s="0" t="n">
        <v>59.9</v>
      </c>
      <c r="Q397" s="3" t="n">
        <f aca="false">IF($C397="Control",$P397,"")</f>
        <v>59.9</v>
      </c>
      <c r="R397" s="0" t="str">
        <f aca="false">IF($C397="Treatment",$P397,"")</f>
        <v/>
      </c>
      <c r="S397" s="0" t="str">
        <f aca="false">IF(AND($C397="Control",$K397=1),$L397,"")</f>
        <v/>
      </c>
      <c r="T397" s="0" t="str">
        <f aca="false">IF(AND($C397="Treatment",$K397=1),$L397,"")</f>
        <v/>
      </c>
    </row>
    <row r="398" customFormat="false" ht="15" hidden="false" customHeight="false" outlineLevel="0" collapsed="false">
      <c r="A398" s="0" t="s">
        <v>428</v>
      </c>
      <c r="B398" s="2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0" t="n">
        <v>1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P398" s="0" t="n">
        <v>63</v>
      </c>
      <c r="Q398" s="3" t="n">
        <f aca="false">IF($C398="Control",$P398,"")</f>
        <v>63</v>
      </c>
      <c r="R398" s="0" t="str">
        <f aca="false">IF($C398="Treatment",$P398,"")</f>
        <v/>
      </c>
      <c r="S398" s="0" t="str">
        <f aca="false">IF(AND($C398="Control",$K398=1),$L398,"")</f>
        <v/>
      </c>
      <c r="T398" s="0" t="str">
        <f aca="false">IF(AND($C398="Treatment",$K398=1),$L398,"")</f>
        <v/>
      </c>
    </row>
    <row r="399" customFormat="false" ht="15" hidden="false" customHeight="false" outlineLevel="0" collapsed="false">
      <c r="A399" s="0" t="s">
        <v>429</v>
      </c>
      <c r="B399" s="2" t="n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0" t="n">
        <v>1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P399" s="0" t="n">
        <v>76.5</v>
      </c>
      <c r="Q399" s="3" t="n">
        <f aca="false">IF($C399="Control",$P399,"")</f>
        <v>76.5</v>
      </c>
      <c r="R399" s="0" t="str">
        <f aca="false">IF($C399="Treatment",$P399,"")</f>
        <v/>
      </c>
      <c r="S399" s="0" t="str">
        <f aca="false">IF(AND($C399="Control",$K399=1),$L399,"")</f>
        <v/>
      </c>
      <c r="T399" s="0" t="str">
        <f aca="false">IF(AND($C399="Treatment",$K399=1),$L399,"")</f>
        <v/>
      </c>
    </row>
    <row r="400" customFormat="false" ht="15" hidden="false" customHeight="false" outlineLevel="0" collapsed="false">
      <c r="A400" s="0" t="s">
        <v>430</v>
      </c>
      <c r="B400" s="2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0" t="n">
        <v>1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P400" s="0" t="n">
        <v>39.7</v>
      </c>
      <c r="Q400" s="3" t="n">
        <f aca="false">IF($C400="Control",$P400,"")</f>
        <v>39.7</v>
      </c>
      <c r="R400" s="0" t="str">
        <f aca="false">IF($C400="Treatment",$P400,"")</f>
        <v/>
      </c>
      <c r="S400" s="0" t="str">
        <f aca="false">IF(AND($C400="Control",$K400=1),$L400,"")</f>
        <v/>
      </c>
      <c r="T400" s="0" t="str">
        <f aca="false">IF(AND($C400="Treatment",$K400=1),$L400,"")</f>
        <v/>
      </c>
    </row>
    <row r="401" customFormat="false" ht="15" hidden="false" customHeight="false" outlineLevel="0" collapsed="false">
      <c r="A401" s="0" t="s">
        <v>431</v>
      </c>
      <c r="B401" s="2" t="n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P401" s="0" t="n">
        <v>80.2</v>
      </c>
      <c r="Q401" s="3" t="n">
        <f aca="false">IF($C401="Control",$P401,"")</f>
        <v>80.2</v>
      </c>
      <c r="R401" s="0" t="str">
        <f aca="false">IF($C401="Treatment",$P401,"")</f>
        <v/>
      </c>
      <c r="S401" s="0" t="str">
        <f aca="false">IF(AND($C401="Control",$K401=1),$L401,"")</f>
        <v/>
      </c>
      <c r="T401" s="0" t="str">
        <f aca="false">IF(AND($C401="Treatment",$K401=1),$L401,"")</f>
        <v/>
      </c>
    </row>
    <row r="402" customFormat="false" ht="15" hidden="false" customHeight="false" outlineLevel="0" collapsed="false">
      <c r="A402" s="0" t="s">
        <v>432</v>
      </c>
      <c r="B402" s="2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P402" s="0" t="n">
        <v>72.2</v>
      </c>
      <c r="Q402" s="3" t="n">
        <f aca="false">IF($C402="Control",$P402,"")</f>
        <v>72.2</v>
      </c>
      <c r="R402" s="0" t="str">
        <f aca="false">IF($C402="Treatment",$P402,"")</f>
        <v/>
      </c>
      <c r="S402" s="0" t="str">
        <f aca="false">IF(AND($C402="Control",$K402=1),$L402,"")</f>
        <v/>
      </c>
      <c r="T402" s="0" t="str">
        <f aca="false">IF(AND($C402="Treatment",$K402=1),$L402,"")</f>
        <v/>
      </c>
    </row>
    <row r="403" customFormat="false" ht="15" hidden="false" customHeight="false" outlineLevel="0" collapsed="false">
      <c r="A403" s="0" t="s">
        <v>433</v>
      </c>
      <c r="B403" s="2" t="n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P403" s="0" t="n">
        <v>56</v>
      </c>
      <c r="Q403" s="3" t="n">
        <f aca="false">IF($C403="Control",$P403,"")</f>
        <v>56</v>
      </c>
      <c r="R403" s="0" t="str">
        <f aca="false">IF($C403="Treatment",$P403,"")</f>
        <v/>
      </c>
      <c r="S403" s="0" t="str">
        <f aca="false">IF(AND($C403="Control",$K403=1),$L403,"")</f>
        <v/>
      </c>
      <c r="T403" s="0" t="str">
        <f aca="false">IF(AND($C403="Treatment",$K403=1),$L403,"")</f>
        <v/>
      </c>
    </row>
    <row r="404" customFormat="false" ht="15" hidden="false" customHeight="false" outlineLevel="0" collapsed="false">
      <c r="A404" s="0" t="s">
        <v>434</v>
      </c>
      <c r="B404" s="2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0" t="n">
        <v>1</v>
      </c>
      <c r="I404" s="0" t="n">
        <v>1</v>
      </c>
      <c r="J404" s="0" t="n">
        <v>1</v>
      </c>
      <c r="K404" s="0" t="n">
        <v>0</v>
      </c>
      <c r="L404" s="0" t="n">
        <v>0</v>
      </c>
      <c r="M404" s="0" t="n">
        <v>0</v>
      </c>
      <c r="N404" s="0" t="n">
        <v>0</v>
      </c>
      <c r="P404" s="0" t="n">
        <v>69.1</v>
      </c>
      <c r="Q404" s="3" t="n">
        <f aca="false">IF($C404="Control",$P404,"")</f>
        <v>69.1</v>
      </c>
      <c r="R404" s="0" t="str">
        <f aca="false">IF($C404="Treatment",$P404,"")</f>
        <v/>
      </c>
      <c r="S404" s="0" t="str">
        <f aca="false">IF(AND($C404="Control",$K404=1),$L404,"")</f>
        <v/>
      </c>
      <c r="T404" s="0" t="str">
        <f aca="false">IF(AND($C404="Treatment",$K404=1),$L404,"")</f>
        <v/>
      </c>
    </row>
    <row r="405" customFormat="false" ht="15" hidden="false" customHeight="false" outlineLevel="0" collapsed="false">
      <c r="A405" s="0" t="s">
        <v>435</v>
      </c>
      <c r="B405" s="2" t="n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P405" s="0" t="n">
        <v>70.6</v>
      </c>
      <c r="Q405" s="3" t="n">
        <f aca="false">IF($C405="Control",$P405,"")</f>
        <v>70.6</v>
      </c>
      <c r="R405" s="0" t="str">
        <f aca="false">IF($C405="Treatment",$P405,"")</f>
        <v/>
      </c>
      <c r="S405" s="0" t="str">
        <f aca="false">IF(AND($C405="Control",$K405=1),$L405,"")</f>
        <v/>
      </c>
      <c r="T405" s="0" t="str">
        <f aca="false">IF(AND($C405="Treatment",$K405=1),$L405,"")</f>
        <v/>
      </c>
    </row>
    <row r="406" customFormat="false" ht="15" hidden="false" customHeight="false" outlineLevel="0" collapsed="false">
      <c r="A406" s="0" t="s">
        <v>436</v>
      </c>
      <c r="B406" s="2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P406" s="0" t="n">
        <v>57.9</v>
      </c>
      <c r="Q406" s="3" t="n">
        <f aca="false">IF($C406="Control",$P406,"")</f>
        <v>57.9</v>
      </c>
      <c r="R406" s="0" t="str">
        <f aca="false">IF($C406="Treatment",$P406,"")</f>
        <v/>
      </c>
      <c r="S406" s="0" t="str">
        <f aca="false">IF(AND($C406="Control",$K406=1),$L406,"")</f>
        <v/>
      </c>
      <c r="T406" s="0" t="str">
        <f aca="false">IF(AND($C406="Treatment",$K406=1),$L406,"")</f>
        <v/>
      </c>
    </row>
    <row r="407" customFormat="false" ht="15" hidden="false" customHeight="false" outlineLevel="0" collapsed="false">
      <c r="A407" s="0" t="s">
        <v>437</v>
      </c>
      <c r="B407" s="2" t="n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0" t="n">
        <v>1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P407" s="0" t="n">
        <v>41.4</v>
      </c>
      <c r="Q407" s="3" t="n">
        <f aca="false">IF($C407="Control",$P407,"")</f>
        <v>41.4</v>
      </c>
      <c r="R407" s="0" t="str">
        <f aca="false">IF($C407="Treatment",$P407,"")</f>
        <v/>
      </c>
      <c r="S407" s="0" t="str">
        <f aca="false">IF(AND($C407="Control",$K407=1),$L407,"")</f>
        <v/>
      </c>
      <c r="T407" s="0" t="str">
        <f aca="false">IF(AND($C407="Treatment",$K407=1),$L407,"")</f>
        <v/>
      </c>
    </row>
    <row r="408" customFormat="false" ht="15" hidden="false" customHeight="false" outlineLevel="0" collapsed="false">
      <c r="A408" s="0" t="s">
        <v>438</v>
      </c>
      <c r="B408" s="2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P408" s="0" t="n">
        <v>60.9</v>
      </c>
      <c r="Q408" s="3" t="n">
        <f aca="false">IF($C408="Control",$P408,"")</f>
        <v>60.9</v>
      </c>
      <c r="R408" s="0" t="str">
        <f aca="false">IF($C408="Treatment",$P408,"")</f>
        <v/>
      </c>
      <c r="S408" s="0" t="str">
        <f aca="false">IF(AND($C408="Control",$K408=1),$L408,"")</f>
        <v/>
      </c>
      <c r="T408" s="0" t="str">
        <f aca="false">IF(AND($C408="Treatment",$K408=1),$L408,"")</f>
        <v/>
      </c>
    </row>
    <row r="409" customFormat="false" ht="15" hidden="false" customHeight="false" outlineLevel="0" collapsed="false">
      <c r="A409" s="0" t="s">
        <v>439</v>
      </c>
      <c r="B409" s="2" t="n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0</v>
      </c>
      <c r="P409" s="0" t="n">
        <v>63.8</v>
      </c>
      <c r="Q409" s="3" t="n">
        <f aca="false">IF($C409="Control",$P409,"")</f>
        <v>63.8</v>
      </c>
      <c r="R409" s="0" t="str">
        <f aca="false">IF($C409="Treatment",$P409,"")</f>
        <v/>
      </c>
      <c r="S409" s="0" t="str">
        <f aca="false">IF(AND($C409="Control",$K409=1),$L409,"")</f>
        <v/>
      </c>
      <c r="T409" s="0" t="str">
        <f aca="false">IF(AND($C409="Treatment",$K409=1),$L409,"")</f>
        <v/>
      </c>
    </row>
    <row r="410" customFormat="false" ht="15" hidden="false" customHeight="false" outlineLevel="0" collapsed="false">
      <c r="A410" s="0" t="s">
        <v>440</v>
      </c>
      <c r="B410" s="2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P410" s="0" t="n">
        <v>79.2</v>
      </c>
      <c r="Q410" s="3" t="n">
        <f aca="false">IF($C410="Control",$P410,"")</f>
        <v>79.2</v>
      </c>
      <c r="R410" s="0" t="str">
        <f aca="false">IF($C410="Treatment",$P410,"")</f>
        <v/>
      </c>
      <c r="S410" s="0" t="str">
        <f aca="false">IF(AND($C410="Control",$K410=1),$L410,"")</f>
        <v/>
      </c>
      <c r="T410" s="0" t="str">
        <f aca="false">IF(AND($C410="Treatment",$K410=1),$L410,"")</f>
        <v/>
      </c>
    </row>
    <row r="411" customFormat="false" ht="15" hidden="false" customHeight="false" outlineLevel="0" collapsed="false">
      <c r="A411" s="0" t="s">
        <v>441</v>
      </c>
      <c r="B411" s="2" t="n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0" t="n">
        <v>1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0</v>
      </c>
      <c r="N411" s="0" t="n">
        <v>0</v>
      </c>
      <c r="P411" s="0" t="n">
        <v>53.3</v>
      </c>
      <c r="Q411" s="3" t="n">
        <f aca="false">IF($C411="Control",$P411,"")</f>
        <v>53.3</v>
      </c>
      <c r="R411" s="0" t="str">
        <f aca="false">IF($C411="Treatment",$P411,"")</f>
        <v/>
      </c>
      <c r="S411" s="0" t="str">
        <f aca="false">IF(AND($C411="Control",$K411=1),$L411,"")</f>
        <v/>
      </c>
      <c r="T411" s="0" t="str">
        <f aca="false">IF(AND($C411="Treatment",$K411=1),$L411,"")</f>
        <v/>
      </c>
    </row>
    <row r="412" customFormat="false" ht="15" hidden="false" customHeight="false" outlineLevel="0" collapsed="false">
      <c r="A412" s="0" t="s">
        <v>442</v>
      </c>
      <c r="B412" s="2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2144.82</v>
      </c>
      <c r="M412" s="0" t="n">
        <v>0</v>
      </c>
      <c r="N412" s="0" t="n">
        <v>0</v>
      </c>
      <c r="O412" s="0" t="n">
        <v>6</v>
      </c>
      <c r="P412" s="0" t="n">
        <v>52.3</v>
      </c>
      <c r="Q412" s="3" t="n">
        <f aca="false">IF($C412="Control",$P412,"")</f>
        <v>52.3</v>
      </c>
      <c r="R412" s="0" t="str">
        <f aca="false">IF($C412="Treatment",$P412,"")</f>
        <v/>
      </c>
      <c r="S412" s="3" t="n">
        <f aca="false">IF(AND($C412="Control",$K412=1),$L412,"")</f>
        <v>2144.82</v>
      </c>
      <c r="T412" s="0" t="str">
        <f aca="false">IF(AND($C412="Treatment",$K412=1),$L412,"")</f>
        <v/>
      </c>
    </row>
    <row r="413" customFormat="false" ht="15" hidden="false" customHeight="false" outlineLevel="0" collapsed="false">
      <c r="A413" s="0" t="s">
        <v>443</v>
      </c>
      <c r="B413" s="2" t="n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0" t="n">
        <v>1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P413" s="0" t="n">
        <v>62.4</v>
      </c>
      <c r="Q413" s="3" t="n">
        <f aca="false">IF($C413="Control",$P413,"")</f>
        <v>62.4</v>
      </c>
      <c r="R413" s="0" t="str">
        <f aca="false">IF($C413="Treatment",$P413,"")</f>
        <v/>
      </c>
      <c r="S413" s="0" t="str">
        <f aca="false">IF(AND($C413="Control",$K413=1),$L413,"")</f>
        <v/>
      </c>
      <c r="T413" s="0" t="str">
        <f aca="false">IF(AND($C413="Treatment",$K413=1),$L413,"")</f>
        <v/>
      </c>
    </row>
    <row r="414" customFormat="false" ht="15" hidden="false" customHeight="false" outlineLevel="0" collapsed="false">
      <c r="A414" s="0" t="s">
        <v>444</v>
      </c>
      <c r="B414" s="2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0" t="n">
        <v>1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P414" s="0" t="n">
        <v>45.5</v>
      </c>
      <c r="Q414" s="3" t="n">
        <f aca="false">IF($C414="Control",$P414,"")</f>
        <v>45.5</v>
      </c>
      <c r="R414" s="0" t="str">
        <f aca="false">IF($C414="Treatment",$P414,"")</f>
        <v/>
      </c>
      <c r="S414" s="0" t="str">
        <f aca="false">IF(AND($C414="Control",$K414=1),$L414,"")</f>
        <v/>
      </c>
      <c r="T414" s="0" t="str">
        <f aca="false">IF(AND($C414="Treatment",$K414=1),$L414,"")</f>
        <v/>
      </c>
    </row>
    <row r="415" customFormat="false" ht="15" hidden="false" customHeight="false" outlineLevel="0" collapsed="false">
      <c r="A415" s="0" t="s">
        <v>445</v>
      </c>
      <c r="B415" s="2" t="n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P415" s="0" t="n">
        <v>72.6</v>
      </c>
      <c r="Q415" s="3" t="n">
        <f aca="false">IF($C415="Control",$P415,"")</f>
        <v>72.6</v>
      </c>
      <c r="R415" s="0" t="str">
        <f aca="false">IF($C415="Treatment",$P415,"")</f>
        <v/>
      </c>
      <c r="S415" s="0" t="str">
        <f aca="false">IF(AND($C415="Control",$K415=1),$L415,"")</f>
        <v/>
      </c>
      <c r="T415" s="0" t="str">
        <f aca="false">IF(AND($C415="Treatment",$K415=1),$L415,"")</f>
        <v/>
      </c>
    </row>
    <row r="416" customFormat="false" ht="15" hidden="false" customHeight="false" outlineLevel="0" collapsed="false">
      <c r="A416" s="0" t="s">
        <v>446</v>
      </c>
      <c r="B416" s="2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0" t="n">
        <v>1</v>
      </c>
      <c r="I416" s="0" t="n">
        <v>1</v>
      </c>
      <c r="J416" s="0" t="n">
        <v>1</v>
      </c>
      <c r="K416" s="0" t="n">
        <v>0</v>
      </c>
      <c r="L416" s="0" t="n">
        <v>0</v>
      </c>
      <c r="M416" s="0" t="n">
        <v>0</v>
      </c>
      <c r="N416" s="0" t="n">
        <v>0</v>
      </c>
      <c r="P416" s="0" t="n">
        <v>50.1</v>
      </c>
      <c r="Q416" s="3" t="n">
        <f aca="false">IF($C416="Control",$P416,"")</f>
        <v>50.1</v>
      </c>
      <c r="R416" s="0" t="str">
        <f aca="false">IF($C416="Treatment",$P416,"")</f>
        <v/>
      </c>
      <c r="S416" s="0" t="str">
        <f aca="false">IF(AND($C416="Control",$K416=1),$L416,"")</f>
        <v/>
      </c>
      <c r="T416" s="0" t="str">
        <f aca="false">IF(AND($C416="Treatment",$K416=1),$L416,"")</f>
        <v/>
      </c>
    </row>
    <row r="417" customFormat="false" ht="15" hidden="false" customHeight="false" outlineLevel="0" collapsed="false">
      <c r="A417" s="0" t="s">
        <v>447</v>
      </c>
      <c r="B417" s="2" t="n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0" t="n">
        <v>1</v>
      </c>
      <c r="I417" s="0" t="n">
        <v>1</v>
      </c>
      <c r="J417" s="0" t="n">
        <v>1</v>
      </c>
      <c r="K417" s="0" t="n">
        <v>0</v>
      </c>
      <c r="L417" s="0" t="n">
        <v>0</v>
      </c>
      <c r="M417" s="0" t="n">
        <v>2</v>
      </c>
      <c r="N417" s="0" t="n">
        <v>0</v>
      </c>
      <c r="P417" s="0" t="n">
        <v>58.1</v>
      </c>
      <c r="Q417" s="3" t="n">
        <f aca="false">IF($C417="Control",$P417,"")</f>
        <v>58.1</v>
      </c>
      <c r="R417" s="0" t="str">
        <f aca="false">IF($C417="Treatment",$P417,"")</f>
        <v/>
      </c>
      <c r="S417" s="0" t="str">
        <f aca="false">IF(AND($C417="Control",$K417=1),$L417,"")</f>
        <v/>
      </c>
      <c r="T417" s="0" t="str">
        <f aca="false">IF(AND($C417="Treatment",$K417=1),$L417,"")</f>
        <v/>
      </c>
    </row>
    <row r="418" customFormat="false" ht="15" hidden="false" customHeight="false" outlineLevel="0" collapsed="false">
      <c r="A418" s="0" t="s">
        <v>448</v>
      </c>
      <c r="B418" s="2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0" t="n">
        <v>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P418" s="0" t="n">
        <v>42.9</v>
      </c>
      <c r="Q418" s="3" t="n">
        <f aca="false">IF($C418="Control",$P418,"")</f>
        <v>42.9</v>
      </c>
      <c r="R418" s="0" t="str">
        <f aca="false">IF($C418="Treatment",$P418,"")</f>
        <v/>
      </c>
      <c r="S418" s="0" t="str">
        <f aca="false">IF(AND($C418="Control",$K418=1),$L418,"")</f>
        <v/>
      </c>
      <c r="T418" s="0" t="str">
        <f aca="false">IF(AND($C418="Treatment",$K418=1),$L418,"")</f>
        <v/>
      </c>
    </row>
    <row r="419" customFormat="false" ht="15" hidden="false" customHeight="false" outlineLevel="0" collapsed="false">
      <c r="A419" s="0" t="s">
        <v>449</v>
      </c>
      <c r="B419" s="2" t="n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P419" s="0" t="n">
        <v>69.7</v>
      </c>
      <c r="Q419" s="3" t="n">
        <f aca="false">IF($C419="Control",$P419,"")</f>
        <v>69.7</v>
      </c>
      <c r="R419" s="0" t="str">
        <f aca="false">IF($C419="Treatment",$P419,"")</f>
        <v/>
      </c>
      <c r="S419" s="0" t="str">
        <f aca="false">IF(AND($C419="Control",$K419=1),$L419,"")</f>
        <v/>
      </c>
      <c r="T419" s="0" t="str">
        <f aca="false">IF(AND($C419="Treatment",$K419=1),$L419,"")</f>
        <v/>
      </c>
    </row>
    <row r="420" customFormat="false" ht="15" hidden="false" customHeight="false" outlineLevel="0" collapsed="false">
      <c r="A420" s="0" t="s">
        <v>450</v>
      </c>
      <c r="B420" s="2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P420" s="0" t="n">
        <v>63.3</v>
      </c>
      <c r="Q420" s="3" t="n">
        <f aca="false">IF($C420="Control",$P420,"")</f>
        <v>63.3</v>
      </c>
      <c r="R420" s="0" t="str">
        <f aca="false">IF($C420="Treatment",$P420,"")</f>
        <v/>
      </c>
      <c r="S420" s="0" t="str">
        <f aca="false">IF(AND($C420="Control",$K420=1),$L420,"")</f>
        <v/>
      </c>
      <c r="T420" s="0" t="str">
        <f aca="false">IF(AND($C420="Treatment",$K420=1),$L420,"")</f>
        <v/>
      </c>
    </row>
    <row r="421" customFormat="false" ht="15" hidden="false" customHeight="false" outlineLevel="0" collapsed="false">
      <c r="A421" s="0" t="s">
        <v>451</v>
      </c>
      <c r="B421" s="2" t="n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P421" s="0" t="n">
        <v>71.2</v>
      </c>
      <c r="Q421" s="3" t="n">
        <f aca="false">IF($C421="Control",$P421,"")</f>
        <v>71.2</v>
      </c>
      <c r="R421" s="0" t="str">
        <f aca="false">IF($C421="Treatment",$P421,"")</f>
        <v/>
      </c>
      <c r="S421" s="0" t="str">
        <f aca="false">IF(AND($C421="Control",$K421=1),$L421,"")</f>
        <v/>
      </c>
      <c r="T421" s="0" t="str">
        <f aca="false">IF(AND($C421="Treatment",$K421=1),$L421,"")</f>
        <v/>
      </c>
    </row>
    <row r="422" customFormat="false" ht="15" hidden="false" customHeight="false" outlineLevel="0" collapsed="false">
      <c r="A422" s="0" t="s">
        <v>452</v>
      </c>
      <c r="B422" s="2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P422" s="0" t="n">
        <v>39.1</v>
      </c>
      <c r="Q422" s="3" t="n">
        <f aca="false">IF($C422="Control",$P422,"")</f>
        <v>39.1</v>
      </c>
      <c r="R422" s="0" t="str">
        <f aca="false">IF($C422="Treatment",$P422,"")</f>
        <v/>
      </c>
      <c r="S422" s="0" t="str">
        <f aca="false">IF(AND($C422="Control",$K422=1),$L422,"")</f>
        <v/>
      </c>
      <c r="T422" s="0" t="str">
        <f aca="false">IF(AND($C422="Treatment",$K422=1),$L422,"")</f>
        <v/>
      </c>
    </row>
    <row r="423" customFormat="false" ht="15" hidden="false" customHeight="false" outlineLevel="0" collapsed="false">
      <c r="A423" s="0" t="s">
        <v>453</v>
      </c>
      <c r="B423" s="2" t="n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P423" s="0" t="n">
        <v>42.6</v>
      </c>
      <c r="Q423" s="3" t="n">
        <f aca="false">IF($C423="Control",$P423,"")</f>
        <v>42.6</v>
      </c>
      <c r="R423" s="0" t="str">
        <f aca="false">IF($C423="Treatment",$P423,"")</f>
        <v/>
      </c>
      <c r="S423" s="0" t="str">
        <f aca="false">IF(AND($C423="Control",$K423=1),$L423,"")</f>
        <v/>
      </c>
      <c r="T423" s="0" t="str">
        <f aca="false">IF(AND($C423="Treatment",$K423=1),$L423,"")</f>
        <v/>
      </c>
    </row>
    <row r="424" customFormat="false" ht="15" hidden="false" customHeight="false" outlineLevel="0" collapsed="false">
      <c r="A424" s="0" t="s">
        <v>454</v>
      </c>
      <c r="B424" s="2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P424" s="0" t="n">
        <v>74.4</v>
      </c>
      <c r="Q424" s="3" t="n">
        <f aca="false">IF($C424="Control",$P424,"")</f>
        <v>74.4</v>
      </c>
      <c r="R424" s="0" t="str">
        <f aca="false">IF($C424="Treatment",$P424,"")</f>
        <v/>
      </c>
      <c r="S424" s="0" t="str">
        <f aca="false">IF(AND($C424="Control",$K424=1),$L424,"")</f>
        <v/>
      </c>
      <c r="T424" s="0" t="str">
        <f aca="false">IF(AND($C424="Treatment",$K424=1),$L424,"")</f>
        <v/>
      </c>
    </row>
    <row r="425" customFormat="false" ht="15" hidden="false" customHeight="false" outlineLevel="0" collapsed="false">
      <c r="A425" s="0" t="s">
        <v>455</v>
      </c>
      <c r="B425" s="2" t="n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P425" s="0" t="n">
        <v>55.6</v>
      </c>
      <c r="Q425" s="3" t="n">
        <f aca="false">IF($C425="Control",$P425,"")</f>
        <v>55.6</v>
      </c>
      <c r="R425" s="0" t="str">
        <f aca="false">IF($C425="Treatment",$P425,"")</f>
        <v/>
      </c>
      <c r="S425" s="0" t="str">
        <f aca="false">IF(AND($C425="Control",$K425=1),$L425,"")</f>
        <v/>
      </c>
      <c r="T425" s="0" t="str">
        <f aca="false">IF(AND($C425="Treatment",$K425=1),$L425,"")</f>
        <v/>
      </c>
    </row>
    <row r="426" customFormat="false" ht="15" hidden="false" customHeight="false" outlineLevel="0" collapsed="false">
      <c r="A426" s="0" t="s">
        <v>456</v>
      </c>
      <c r="B426" s="2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P426" s="0" t="n">
        <v>35.8</v>
      </c>
      <c r="Q426" s="3" t="n">
        <f aca="false">IF($C426="Control",$P426,"")</f>
        <v>35.8</v>
      </c>
      <c r="R426" s="0" t="str">
        <f aca="false">IF($C426="Treatment",$P426,"")</f>
        <v/>
      </c>
      <c r="S426" s="0" t="str">
        <f aca="false">IF(AND($C426="Control",$K426=1),$L426,"")</f>
        <v/>
      </c>
      <c r="T426" s="0" t="str">
        <f aca="false">IF(AND($C426="Treatment",$K426=1),$L426,"")</f>
        <v/>
      </c>
    </row>
    <row r="427" customFormat="false" ht="15" hidden="false" customHeight="false" outlineLevel="0" collapsed="false">
      <c r="A427" s="0" t="s">
        <v>457</v>
      </c>
      <c r="B427" s="2" t="n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0</v>
      </c>
      <c r="P427" s="0" t="n">
        <v>28.2</v>
      </c>
      <c r="Q427" s="3" t="n">
        <f aca="false">IF($C427="Control",$P427,"")</f>
        <v>28.2</v>
      </c>
      <c r="R427" s="0" t="str">
        <f aca="false">IF($C427="Treatment",$P427,"")</f>
        <v/>
      </c>
      <c r="S427" s="0" t="str">
        <f aca="false">IF(AND($C427="Control",$K427=1),$L427,"")</f>
        <v/>
      </c>
      <c r="T427" s="0" t="str">
        <f aca="false">IF(AND($C427="Treatment",$K427=1),$L427,"")</f>
        <v/>
      </c>
    </row>
    <row r="428" customFormat="false" ht="15" hidden="false" customHeight="false" outlineLevel="0" collapsed="false">
      <c r="A428" s="0" t="s">
        <v>458</v>
      </c>
      <c r="B428" s="2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2</v>
      </c>
      <c r="N428" s="0" t="n">
        <v>0</v>
      </c>
      <c r="P428" s="0" t="n">
        <v>44.4</v>
      </c>
      <c r="Q428" s="3" t="n">
        <f aca="false">IF($C428="Control",$P428,"")</f>
        <v>44.4</v>
      </c>
      <c r="R428" s="0" t="str">
        <f aca="false">IF($C428="Treatment",$P428,"")</f>
        <v/>
      </c>
      <c r="S428" s="0" t="str">
        <f aca="false">IF(AND($C428="Control",$K428=1),$L428,"")</f>
        <v/>
      </c>
      <c r="T428" s="0" t="str">
        <f aca="false">IF(AND($C428="Treatment",$K428=1),$L428,"")</f>
        <v/>
      </c>
    </row>
    <row r="429" customFormat="false" ht="15" hidden="false" customHeight="false" outlineLevel="0" collapsed="false">
      <c r="A429" s="0" t="s">
        <v>459</v>
      </c>
      <c r="B429" s="2" t="n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P429" s="0" t="n">
        <v>49.9</v>
      </c>
      <c r="Q429" s="3" t="n">
        <f aca="false">IF($C429="Control",$P429,"")</f>
        <v>49.9</v>
      </c>
      <c r="R429" s="0" t="str">
        <f aca="false">IF($C429="Treatment",$P429,"")</f>
        <v/>
      </c>
      <c r="S429" s="0" t="str">
        <f aca="false">IF(AND($C429="Control",$K429=1),$L429,"")</f>
        <v/>
      </c>
      <c r="T429" s="0" t="str">
        <f aca="false">IF(AND($C429="Treatment",$K429=1),$L429,"")</f>
        <v/>
      </c>
    </row>
    <row r="430" customFormat="false" ht="15" hidden="false" customHeight="false" outlineLevel="0" collapsed="false">
      <c r="A430" s="0" t="s">
        <v>460</v>
      </c>
      <c r="B430" s="2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P430" s="0" t="n">
        <v>40.4</v>
      </c>
      <c r="Q430" s="3" t="n">
        <f aca="false">IF($C430="Control",$P430,"")</f>
        <v>40.4</v>
      </c>
      <c r="R430" s="0" t="str">
        <f aca="false">IF($C430="Treatment",$P430,"")</f>
        <v/>
      </c>
      <c r="S430" s="0" t="str">
        <f aca="false">IF(AND($C430="Control",$K430=1),$L430,"")</f>
        <v/>
      </c>
      <c r="T430" s="0" t="str">
        <f aca="false">IF(AND($C430="Treatment",$K430=1),$L430,"")</f>
        <v/>
      </c>
    </row>
    <row r="431" customFormat="false" ht="15" hidden="false" customHeight="false" outlineLevel="0" collapsed="false">
      <c r="A431" s="0" t="s">
        <v>461</v>
      </c>
      <c r="B431" s="2" t="n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P431" s="0" t="n">
        <v>60.4</v>
      </c>
      <c r="Q431" s="3" t="n">
        <f aca="false">IF($C431="Control",$P431,"")</f>
        <v>60.4</v>
      </c>
      <c r="R431" s="0" t="str">
        <f aca="false">IF($C431="Treatment",$P431,"")</f>
        <v/>
      </c>
      <c r="S431" s="0" t="str">
        <f aca="false">IF(AND($C431="Control",$K431=1),$L431,"")</f>
        <v/>
      </c>
      <c r="T431" s="0" t="str">
        <f aca="false">IF(AND($C431="Treatment",$K431=1),$L431,"")</f>
        <v/>
      </c>
    </row>
    <row r="432" customFormat="false" ht="15" hidden="false" customHeight="false" outlineLevel="0" collapsed="false">
      <c r="A432" s="0" t="s">
        <v>462</v>
      </c>
      <c r="B432" s="2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0</v>
      </c>
      <c r="P432" s="0" t="n">
        <v>52.4</v>
      </c>
      <c r="Q432" s="3" t="n">
        <f aca="false">IF($C432="Control",$P432,"")</f>
        <v>52.4</v>
      </c>
      <c r="R432" s="0" t="str">
        <f aca="false">IF($C432="Treatment",$P432,"")</f>
        <v/>
      </c>
      <c r="S432" s="0" t="str">
        <f aca="false">IF(AND($C432="Control",$K432=1),$L432,"")</f>
        <v/>
      </c>
      <c r="T432" s="0" t="str">
        <f aca="false">IF(AND($C432="Treatment",$K432=1),$L432,"")</f>
        <v/>
      </c>
    </row>
    <row r="433" customFormat="false" ht="15" hidden="false" customHeight="false" outlineLevel="0" collapsed="false">
      <c r="A433" s="0" t="s">
        <v>463</v>
      </c>
      <c r="B433" s="2" t="n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0" t="n">
        <v>1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P433" s="0" t="n">
        <v>48.8</v>
      </c>
      <c r="Q433" s="3" t="n">
        <f aca="false">IF($C433="Control",$P433,"")</f>
        <v>48.8</v>
      </c>
      <c r="R433" s="0" t="str">
        <f aca="false">IF($C433="Treatment",$P433,"")</f>
        <v/>
      </c>
      <c r="S433" s="0" t="str">
        <f aca="false">IF(AND($C433="Control",$K433=1),$L433,"")</f>
        <v/>
      </c>
      <c r="T433" s="0" t="str">
        <f aca="false">IF(AND($C433="Treatment",$K433=1),$L433,"")</f>
        <v/>
      </c>
    </row>
    <row r="434" customFormat="false" ht="15" hidden="false" customHeight="false" outlineLevel="0" collapsed="false">
      <c r="A434" s="0" t="s">
        <v>464</v>
      </c>
      <c r="B434" s="2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P434" s="0" t="n">
        <v>60.9</v>
      </c>
      <c r="Q434" s="3" t="n">
        <f aca="false">IF($C434="Control",$P434,"")</f>
        <v>60.9</v>
      </c>
      <c r="R434" s="0" t="str">
        <f aca="false">IF($C434="Treatment",$P434,"")</f>
        <v/>
      </c>
      <c r="S434" s="0" t="str">
        <f aca="false">IF(AND($C434="Control",$K434=1),$L434,"")</f>
        <v/>
      </c>
      <c r="T434" s="0" t="str">
        <f aca="false">IF(AND($C434="Treatment",$K434=1),$L434,"")</f>
        <v/>
      </c>
    </row>
    <row r="435" customFormat="false" ht="15" hidden="false" customHeight="false" outlineLevel="0" collapsed="false">
      <c r="A435" s="0" t="s">
        <v>465</v>
      </c>
      <c r="B435" s="2" t="n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P435" s="0" t="n">
        <v>68.2</v>
      </c>
      <c r="Q435" s="3" t="n">
        <f aca="false">IF($C435="Control",$P435,"")</f>
        <v>68.2</v>
      </c>
      <c r="R435" s="0" t="str">
        <f aca="false">IF($C435="Treatment",$P435,"")</f>
        <v/>
      </c>
      <c r="S435" s="0" t="str">
        <f aca="false">IF(AND($C435="Control",$K435=1),$L435,"")</f>
        <v/>
      </c>
      <c r="T435" s="0" t="str">
        <f aca="false">IF(AND($C435="Treatment",$K435=1),$L435,"")</f>
        <v/>
      </c>
    </row>
    <row r="436" customFormat="false" ht="15" hidden="false" customHeight="false" outlineLevel="0" collapsed="false">
      <c r="A436" s="0" t="s">
        <v>466</v>
      </c>
      <c r="B436" s="2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P436" s="0" t="n">
        <v>65.6</v>
      </c>
      <c r="Q436" s="3" t="n">
        <f aca="false">IF($C436="Control",$P436,"")</f>
        <v>65.6</v>
      </c>
      <c r="R436" s="0" t="str">
        <f aca="false">IF($C436="Treatment",$P436,"")</f>
        <v/>
      </c>
      <c r="S436" s="0" t="str">
        <f aca="false">IF(AND($C436="Control",$K436=1),$L436,"")</f>
        <v/>
      </c>
      <c r="T436" s="0" t="str">
        <f aca="false">IF(AND($C436="Treatment",$K436=1),$L436,"")</f>
        <v/>
      </c>
    </row>
    <row r="437" customFormat="false" ht="15" hidden="false" customHeight="false" outlineLevel="0" collapsed="false">
      <c r="A437" s="0" t="s">
        <v>467</v>
      </c>
      <c r="B437" s="2" t="n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P437" s="0" t="n">
        <v>65.4</v>
      </c>
      <c r="Q437" s="3" t="n">
        <f aca="false">IF($C437="Control",$P437,"")</f>
        <v>65.4</v>
      </c>
      <c r="R437" s="0" t="str">
        <f aca="false">IF($C437="Treatment",$P437,"")</f>
        <v/>
      </c>
      <c r="S437" s="0" t="str">
        <f aca="false">IF(AND($C437="Control",$K437=1),$L437,"")</f>
        <v/>
      </c>
      <c r="T437" s="0" t="str">
        <f aca="false">IF(AND($C437="Treatment",$K437=1),$L437,"")</f>
        <v/>
      </c>
    </row>
    <row r="438" customFormat="false" ht="15" hidden="false" customHeight="false" outlineLevel="0" collapsed="false">
      <c r="A438" s="0" t="s">
        <v>468</v>
      </c>
      <c r="B438" s="2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P438" s="0" t="n">
        <v>78.9</v>
      </c>
      <c r="Q438" s="3" t="n">
        <f aca="false">IF($C438="Control",$P438,"")</f>
        <v>78.9</v>
      </c>
      <c r="R438" s="0" t="str">
        <f aca="false">IF($C438="Treatment",$P438,"")</f>
        <v/>
      </c>
      <c r="S438" s="0" t="str">
        <f aca="false">IF(AND($C438="Control",$K438=1),$L438,"")</f>
        <v/>
      </c>
      <c r="T438" s="0" t="str">
        <f aca="false">IF(AND($C438="Treatment",$K438=1),$L438,"")</f>
        <v/>
      </c>
    </row>
    <row r="439" customFormat="false" ht="15" hidden="false" customHeight="false" outlineLevel="0" collapsed="false">
      <c r="A439" s="0" t="s">
        <v>469</v>
      </c>
      <c r="B439" s="2" t="n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0" t="n">
        <v>1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0</v>
      </c>
      <c r="N439" s="0" t="n">
        <v>0</v>
      </c>
      <c r="P439" s="0" t="n">
        <v>78.3</v>
      </c>
      <c r="Q439" s="3" t="n">
        <f aca="false">IF($C439="Control",$P439,"")</f>
        <v>78.3</v>
      </c>
      <c r="R439" s="0" t="str">
        <f aca="false">IF($C439="Treatment",$P439,"")</f>
        <v/>
      </c>
      <c r="S439" s="0" t="str">
        <f aca="false">IF(AND($C439="Control",$K439=1),$L439,"")</f>
        <v/>
      </c>
      <c r="T439" s="0" t="str">
        <f aca="false">IF(AND($C439="Treatment",$K439=1),$L439,"")</f>
        <v/>
      </c>
    </row>
    <row r="440" customFormat="false" ht="15" hidden="false" customHeight="false" outlineLevel="0" collapsed="false">
      <c r="A440" s="0" t="s">
        <v>470</v>
      </c>
      <c r="B440" s="2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P440" s="0" t="n">
        <v>49.2</v>
      </c>
      <c r="Q440" s="3" t="n">
        <f aca="false">IF($C440="Control",$P440,"")</f>
        <v>49.2</v>
      </c>
      <c r="R440" s="0" t="str">
        <f aca="false">IF($C440="Treatment",$P440,"")</f>
        <v/>
      </c>
      <c r="S440" s="0" t="str">
        <f aca="false">IF(AND($C440="Control",$K440=1),$L440,"")</f>
        <v/>
      </c>
      <c r="T440" s="0" t="str">
        <f aca="false">IF(AND($C440="Treatment",$K440=1),$L440,"")</f>
        <v/>
      </c>
    </row>
    <row r="441" customFormat="false" ht="15" hidden="false" customHeight="false" outlineLevel="0" collapsed="false">
      <c r="A441" s="0" t="s">
        <v>471</v>
      </c>
      <c r="B441" s="2" t="n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0" t="n">
        <v>1</v>
      </c>
      <c r="I441" s="0" t="n">
        <v>1</v>
      </c>
      <c r="J441" s="0" t="n">
        <v>1</v>
      </c>
      <c r="K441" s="0" t="n">
        <v>1</v>
      </c>
      <c r="L441" s="0" t="n">
        <v>1518.83</v>
      </c>
      <c r="M441" s="0" t="n">
        <v>0</v>
      </c>
      <c r="N441" s="0" t="n">
        <v>0</v>
      </c>
      <c r="O441" s="0" t="n">
        <v>9</v>
      </c>
      <c r="P441" s="0" t="n">
        <v>32.2</v>
      </c>
      <c r="Q441" s="3" t="n">
        <f aca="false">IF($C441="Control",$P441,"")</f>
        <v>32.2</v>
      </c>
      <c r="R441" s="0" t="str">
        <f aca="false">IF($C441="Treatment",$P441,"")</f>
        <v/>
      </c>
      <c r="S441" s="3" t="n">
        <f aca="false">IF(AND($C441="Control",$K441=1),$L441,"")</f>
        <v>1518.83</v>
      </c>
      <c r="T441" s="0" t="str">
        <f aca="false">IF(AND($C441="Treatment",$K441=1),$L441,"")</f>
        <v/>
      </c>
    </row>
    <row r="442" customFormat="false" ht="15" hidden="false" customHeight="false" outlineLevel="0" collapsed="false">
      <c r="A442" s="0" t="s">
        <v>472</v>
      </c>
      <c r="B442" s="2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0" t="n">
        <v>1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P442" s="0" t="n">
        <v>46.3</v>
      </c>
      <c r="Q442" s="3" t="n">
        <f aca="false">IF($C442="Control",$P442,"")</f>
        <v>46.3</v>
      </c>
      <c r="R442" s="0" t="str">
        <f aca="false">IF($C442="Treatment",$P442,"")</f>
        <v/>
      </c>
      <c r="S442" s="0" t="str">
        <f aca="false">IF(AND($C442="Control",$K442=1),$L442,"")</f>
        <v/>
      </c>
      <c r="T442" s="0" t="str">
        <f aca="false">IF(AND($C442="Treatment",$K442=1),$L442,"")</f>
        <v/>
      </c>
    </row>
    <row r="443" customFormat="false" ht="15" hidden="false" customHeight="false" outlineLevel="0" collapsed="false">
      <c r="A443" s="0" t="s">
        <v>473</v>
      </c>
      <c r="B443" s="2" t="n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P443" s="0" t="n">
        <v>55.7</v>
      </c>
      <c r="Q443" s="3" t="n">
        <f aca="false">IF($C443="Control",$P443,"")</f>
        <v>55.7</v>
      </c>
      <c r="R443" s="0" t="str">
        <f aca="false">IF($C443="Treatment",$P443,"")</f>
        <v/>
      </c>
      <c r="S443" s="0" t="str">
        <f aca="false">IF(AND($C443="Control",$K443=1),$L443,"")</f>
        <v/>
      </c>
      <c r="T443" s="0" t="str">
        <f aca="false">IF(AND($C443="Treatment",$K443=1),$L443,"")</f>
        <v/>
      </c>
    </row>
    <row r="444" customFormat="false" ht="15" hidden="false" customHeight="false" outlineLevel="0" collapsed="false">
      <c r="A444" s="0" t="s">
        <v>474</v>
      </c>
      <c r="B444" s="2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0" t="n">
        <v>1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P444" s="0" t="n">
        <v>44.5</v>
      </c>
      <c r="Q444" s="3" t="n">
        <f aca="false">IF($C444="Control",$P444,"")</f>
        <v>44.5</v>
      </c>
      <c r="R444" s="0" t="str">
        <f aca="false">IF($C444="Treatment",$P444,"")</f>
        <v/>
      </c>
      <c r="S444" s="0" t="str">
        <f aca="false">IF(AND($C444="Control",$K444=1),$L444,"")</f>
        <v/>
      </c>
      <c r="T444" s="0" t="str">
        <f aca="false">IF(AND($C444="Treatment",$K444=1),$L444,"")</f>
        <v/>
      </c>
    </row>
    <row r="445" customFormat="false" ht="15" hidden="false" customHeight="false" outlineLevel="0" collapsed="false">
      <c r="A445" s="0" t="s">
        <v>475</v>
      </c>
      <c r="B445" s="2" t="n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0" t="n">
        <v>1</v>
      </c>
      <c r="I445" s="0" t="n">
        <v>1</v>
      </c>
      <c r="J445" s="0" t="n">
        <v>1</v>
      </c>
      <c r="K445" s="0" t="n">
        <v>0</v>
      </c>
      <c r="L445" s="0" t="n">
        <v>0</v>
      </c>
      <c r="M445" s="0" t="n">
        <v>1</v>
      </c>
      <c r="N445" s="0" t="n">
        <v>0</v>
      </c>
      <c r="P445" s="0" t="n">
        <v>47.9</v>
      </c>
      <c r="Q445" s="3" t="n">
        <f aca="false">IF($C445="Control",$P445,"")</f>
        <v>47.9</v>
      </c>
      <c r="R445" s="0" t="str">
        <f aca="false">IF($C445="Treatment",$P445,"")</f>
        <v/>
      </c>
      <c r="S445" s="0" t="str">
        <f aca="false">IF(AND($C445="Control",$K445=1),$L445,"")</f>
        <v/>
      </c>
      <c r="T445" s="0" t="str">
        <f aca="false">IF(AND($C445="Treatment",$K445=1),$L445,"")</f>
        <v/>
      </c>
    </row>
    <row r="446" customFormat="false" ht="15" hidden="false" customHeight="false" outlineLevel="0" collapsed="false">
      <c r="A446" s="0" t="s">
        <v>476</v>
      </c>
      <c r="B446" s="2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P446" s="0" t="n">
        <v>43.9</v>
      </c>
      <c r="Q446" s="3" t="n">
        <f aca="false">IF($C446="Control",$P446,"")</f>
        <v>43.9</v>
      </c>
      <c r="R446" s="0" t="str">
        <f aca="false">IF($C446="Treatment",$P446,"")</f>
        <v/>
      </c>
      <c r="S446" s="0" t="str">
        <f aca="false">IF(AND($C446="Control",$K446=1),$L446,"")</f>
        <v/>
      </c>
      <c r="T446" s="0" t="str">
        <f aca="false">IF(AND($C446="Treatment",$K446=1),$L446,"")</f>
        <v/>
      </c>
    </row>
    <row r="447" customFormat="false" ht="15" hidden="false" customHeight="false" outlineLevel="0" collapsed="false">
      <c r="A447" s="0" t="s">
        <v>477</v>
      </c>
      <c r="B447" s="2" t="n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0" t="n">
        <v>1</v>
      </c>
      <c r="I447" s="0" t="n">
        <v>1</v>
      </c>
      <c r="J447" s="0" t="n">
        <v>1</v>
      </c>
      <c r="K447" s="0" t="n">
        <v>0</v>
      </c>
      <c r="L447" s="0" t="n">
        <v>0</v>
      </c>
      <c r="M447" s="0" t="n">
        <v>1</v>
      </c>
      <c r="N447" s="0" t="n">
        <v>0</v>
      </c>
      <c r="P447" s="0" t="n">
        <v>67.7</v>
      </c>
      <c r="Q447" s="3" t="n">
        <f aca="false">IF($C447="Control",$P447,"")</f>
        <v>67.7</v>
      </c>
      <c r="R447" s="0" t="str">
        <f aca="false">IF($C447="Treatment",$P447,"")</f>
        <v/>
      </c>
      <c r="S447" s="0" t="str">
        <f aca="false">IF(AND($C447="Control",$K447=1),$L447,"")</f>
        <v/>
      </c>
      <c r="T447" s="0" t="str">
        <f aca="false">IF(AND($C447="Treatment",$K447=1),$L447,"")</f>
        <v/>
      </c>
    </row>
    <row r="448" customFormat="false" ht="15" hidden="false" customHeight="false" outlineLevel="0" collapsed="false">
      <c r="A448" s="0" t="s">
        <v>478</v>
      </c>
      <c r="B448" s="2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P448" s="0" t="n">
        <v>43.7</v>
      </c>
      <c r="Q448" s="3" t="n">
        <f aca="false">IF($C448="Control",$P448,"")</f>
        <v>43.7</v>
      </c>
      <c r="R448" s="0" t="str">
        <f aca="false">IF($C448="Treatment",$P448,"")</f>
        <v/>
      </c>
      <c r="S448" s="0" t="str">
        <f aca="false">IF(AND($C448="Control",$K448=1),$L448,"")</f>
        <v/>
      </c>
      <c r="T448" s="0" t="str">
        <f aca="false">IF(AND($C448="Treatment",$K448=1),$L448,"")</f>
        <v/>
      </c>
    </row>
    <row r="449" customFormat="false" ht="15" hidden="false" customHeight="false" outlineLevel="0" collapsed="false">
      <c r="A449" s="0" t="s">
        <v>479</v>
      </c>
      <c r="B449" s="2" t="n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0" t="n">
        <v>1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P449" s="0" t="n">
        <v>68.8</v>
      </c>
      <c r="Q449" s="3" t="n">
        <f aca="false">IF($C449="Control",$P449,"")</f>
        <v>68.8</v>
      </c>
      <c r="R449" s="0" t="str">
        <f aca="false">IF($C449="Treatment",$P449,"")</f>
        <v/>
      </c>
      <c r="S449" s="0" t="str">
        <f aca="false">IF(AND($C449="Control",$K449=1),$L449,"")</f>
        <v/>
      </c>
      <c r="T449" s="0" t="str">
        <f aca="false">IF(AND($C449="Treatment",$K449=1),$L449,"")</f>
        <v/>
      </c>
    </row>
    <row r="450" customFormat="false" ht="15" hidden="false" customHeight="false" outlineLevel="0" collapsed="false">
      <c r="A450" s="0" t="s">
        <v>480</v>
      </c>
      <c r="B450" s="2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0" t="n">
        <v>1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0</v>
      </c>
      <c r="N450" s="0" t="n">
        <v>0</v>
      </c>
      <c r="P450" s="0" t="n">
        <v>59.2</v>
      </c>
      <c r="Q450" s="3" t="n">
        <f aca="false">IF($C450="Control",$P450,"")</f>
        <v>59.2</v>
      </c>
      <c r="R450" s="0" t="str">
        <f aca="false">IF($C450="Treatment",$P450,"")</f>
        <v/>
      </c>
      <c r="S450" s="0" t="str">
        <f aca="false">IF(AND($C450="Control",$K450=1),$L450,"")</f>
        <v/>
      </c>
      <c r="T450" s="0" t="str">
        <f aca="false">IF(AND($C450="Treatment",$K450=1),$L450,"")</f>
        <v/>
      </c>
    </row>
    <row r="451" customFormat="false" ht="15" hidden="false" customHeight="false" outlineLevel="0" collapsed="false">
      <c r="A451" s="0" t="s">
        <v>481</v>
      </c>
      <c r="B451" s="2" t="n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0" t="n">
        <v>1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P451" s="0" t="n">
        <v>48.6</v>
      </c>
      <c r="Q451" s="3" t="n">
        <f aca="false">IF($C451="Control",$P451,"")</f>
        <v>48.6</v>
      </c>
      <c r="R451" s="0" t="str">
        <f aca="false">IF($C451="Treatment",$P451,"")</f>
        <v/>
      </c>
      <c r="S451" s="0" t="str">
        <f aca="false">IF(AND($C451="Control",$K451=1),$L451,"")</f>
        <v/>
      </c>
      <c r="T451" s="0" t="str">
        <f aca="false">IF(AND($C451="Treatment",$K451=1),$L451,"")</f>
        <v/>
      </c>
    </row>
    <row r="452" customFormat="false" ht="15" hidden="false" customHeight="false" outlineLevel="0" collapsed="false">
      <c r="A452" s="0" t="s">
        <v>482</v>
      </c>
      <c r="B452" s="2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0" t="n">
        <v>1</v>
      </c>
      <c r="I452" s="0" t="n">
        <v>1</v>
      </c>
      <c r="J452" s="0" t="n">
        <v>1</v>
      </c>
      <c r="K452" s="0" t="n">
        <v>0</v>
      </c>
      <c r="L452" s="0" t="n">
        <v>0</v>
      </c>
      <c r="M452" s="0" t="n">
        <v>0</v>
      </c>
      <c r="N452" s="0" t="n">
        <v>0</v>
      </c>
      <c r="P452" s="0" t="n">
        <v>56.9</v>
      </c>
      <c r="Q452" s="3" t="n">
        <f aca="false">IF($C452="Control",$P452,"")</f>
        <v>56.9</v>
      </c>
      <c r="R452" s="0" t="str">
        <f aca="false">IF($C452="Treatment",$P452,"")</f>
        <v/>
      </c>
      <c r="S452" s="0" t="str">
        <f aca="false">IF(AND($C452="Control",$K452=1),$L452,"")</f>
        <v/>
      </c>
      <c r="T452" s="0" t="str">
        <f aca="false">IF(AND($C452="Treatment",$K452=1),$L452,"")</f>
        <v/>
      </c>
    </row>
    <row r="453" customFormat="false" ht="15" hidden="false" customHeight="false" outlineLevel="0" collapsed="false">
      <c r="A453" s="0" t="s">
        <v>483</v>
      </c>
      <c r="B453" s="2" t="n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P453" s="0" t="n">
        <v>55.8</v>
      </c>
      <c r="Q453" s="3" t="n">
        <f aca="false">IF($C453="Control",$P453,"")</f>
        <v>55.8</v>
      </c>
      <c r="R453" s="0" t="str">
        <f aca="false">IF($C453="Treatment",$P453,"")</f>
        <v/>
      </c>
      <c r="S453" s="0" t="str">
        <f aca="false">IF(AND($C453="Control",$K453=1),$L453,"")</f>
        <v/>
      </c>
      <c r="T453" s="0" t="str">
        <f aca="false">IF(AND($C453="Treatment",$K453=1),$L453,"")</f>
        <v/>
      </c>
    </row>
    <row r="454" customFormat="false" ht="15" hidden="false" customHeight="false" outlineLevel="0" collapsed="false">
      <c r="A454" s="0" t="s">
        <v>484</v>
      </c>
      <c r="B454" s="2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P454" s="0" t="n">
        <v>63.3</v>
      </c>
      <c r="Q454" s="3" t="n">
        <f aca="false">IF($C454="Control",$P454,"")</f>
        <v>63.3</v>
      </c>
      <c r="R454" s="0" t="str">
        <f aca="false">IF($C454="Treatment",$P454,"")</f>
        <v/>
      </c>
      <c r="S454" s="0" t="str">
        <f aca="false">IF(AND($C454="Control",$K454=1),$L454,"")</f>
        <v/>
      </c>
      <c r="T454" s="0" t="str">
        <f aca="false">IF(AND($C454="Treatment",$K454=1),$L454,"")</f>
        <v/>
      </c>
    </row>
    <row r="455" customFormat="false" ht="15" hidden="false" customHeight="false" outlineLevel="0" collapsed="false">
      <c r="A455" s="0" t="s">
        <v>485</v>
      </c>
      <c r="B455" s="2" t="n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0" t="n">
        <v>1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P455" s="0" t="n">
        <v>52.2</v>
      </c>
      <c r="Q455" s="3" t="n">
        <f aca="false">IF($C455="Control",$P455,"")</f>
        <v>52.2</v>
      </c>
      <c r="R455" s="0" t="str">
        <f aca="false">IF($C455="Treatment",$P455,"")</f>
        <v/>
      </c>
      <c r="S455" s="0" t="str">
        <f aca="false">IF(AND($C455="Control",$K455=1),$L455,"")</f>
        <v/>
      </c>
      <c r="T455" s="0" t="str">
        <f aca="false">IF(AND($C455="Treatment",$K455=1),$L455,"")</f>
        <v/>
      </c>
    </row>
    <row r="456" customFormat="false" ht="15" hidden="false" customHeight="false" outlineLevel="0" collapsed="false">
      <c r="A456" s="0" t="s">
        <v>486</v>
      </c>
      <c r="B456" s="2" t="n">
        <v>45713</v>
      </c>
      <c r="C456" s="3" t="s">
        <v>17</v>
      </c>
      <c r="D456" s="3" t="s">
        <v>32</v>
      </c>
      <c r="E456" s="3" t="s">
        <v>34</v>
      </c>
      <c r="F456" s="3" t="s">
        <v>1470</v>
      </c>
      <c r="G456" s="3" t="s">
        <v>26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P456" s="0" t="n">
        <v>51.5</v>
      </c>
      <c r="Q456" s="3" t="n">
        <f aca="false">IF($C456="Control",$P456,"")</f>
        <v>51.5</v>
      </c>
      <c r="R456" s="0" t="str">
        <f aca="false">IF($C456="Treatment",$P456,"")</f>
        <v/>
      </c>
      <c r="S456" s="0" t="str">
        <f aca="false">IF(AND($C456="Control",$K456=1),$L456,"")</f>
        <v/>
      </c>
      <c r="T456" s="0" t="str">
        <f aca="false">IF(AND($C456="Treatment",$K456=1),$L456,"")</f>
        <v/>
      </c>
    </row>
    <row r="457" customFormat="false" ht="15" hidden="false" customHeight="false" outlineLevel="0" collapsed="false">
      <c r="A457" s="0" t="s">
        <v>487</v>
      </c>
      <c r="B457" s="2" t="n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P457" s="0" t="n">
        <v>50.3</v>
      </c>
      <c r="Q457" s="3" t="n">
        <f aca="false">IF($C457="Control",$P457,"")</f>
        <v>50.3</v>
      </c>
      <c r="R457" s="0" t="str">
        <f aca="false">IF($C457="Treatment",$P457,"")</f>
        <v/>
      </c>
      <c r="S457" s="0" t="str">
        <f aca="false">IF(AND($C457="Control",$K457=1),$L457,"")</f>
        <v/>
      </c>
      <c r="T457" s="0" t="str">
        <f aca="false">IF(AND($C457="Treatment",$K457=1),$L457,"")</f>
        <v/>
      </c>
    </row>
    <row r="458" customFormat="false" ht="15" hidden="false" customHeight="false" outlineLevel="0" collapsed="false">
      <c r="A458" s="0" t="s">
        <v>488</v>
      </c>
      <c r="B458" s="2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0" t="n">
        <v>1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0</v>
      </c>
      <c r="P458" s="0" t="n">
        <v>35.4</v>
      </c>
      <c r="Q458" s="3" t="n">
        <f aca="false">IF($C458="Control",$P458,"")</f>
        <v>35.4</v>
      </c>
      <c r="R458" s="0" t="str">
        <f aca="false">IF($C458="Treatment",$P458,"")</f>
        <v/>
      </c>
      <c r="S458" s="0" t="str">
        <f aca="false">IF(AND($C458="Control",$K458=1),$L458,"")</f>
        <v/>
      </c>
      <c r="T458" s="0" t="str">
        <f aca="false">IF(AND($C458="Treatment",$K458=1),$L458,"")</f>
        <v/>
      </c>
    </row>
    <row r="459" customFormat="false" ht="15" hidden="false" customHeight="false" outlineLevel="0" collapsed="false">
      <c r="A459" s="0" t="s">
        <v>489</v>
      </c>
      <c r="B459" s="2" t="n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0" t="n">
        <v>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0</v>
      </c>
      <c r="P459" s="0" t="n">
        <v>54.1</v>
      </c>
      <c r="Q459" s="3" t="n">
        <f aca="false">IF($C459="Control",$P459,"")</f>
        <v>54.1</v>
      </c>
      <c r="R459" s="0" t="str">
        <f aca="false">IF($C459="Treatment",$P459,"")</f>
        <v/>
      </c>
      <c r="S459" s="0" t="str">
        <f aca="false">IF(AND($C459="Control",$K459=1),$L459,"")</f>
        <v/>
      </c>
      <c r="T459" s="0" t="str">
        <f aca="false">IF(AND($C459="Treatment",$K459=1),$L459,"")</f>
        <v/>
      </c>
    </row>
    <row r="460" customFormat="false" ht="15" hidden="false" customHeight="false" outlineLevel="0" collapsed="false">
      <c r="A460" s="0" t="s">
        <v>490</v>
      </c>
      <c r="B460" s="2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0" t="n">
        <v>1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P460" s="0" t="n">
        <v>56.2</v>
      </c>
      <c r="Q460" s="3" t="n">
        <f aca="false">IF($C460="Control",$P460,"")</f>
        <v>56.2</v>
      </c>
      <c r="R460" s="0" t="str">
        <f aca="false">IF($C460="Treatment",$P460,"")</f>
        <v/>
      </c>
      <c r="S460" s="0" t="str">
        <f aca="false">IF(AND($C460="Control",$K460=1),$L460,"")</f>
        <v/>
      </c>
      <c r="T460" s="0" t="str">
        <f aca="false">IF(AND($C460="Treatment",$K460=1),$L460,"")</f>
        <v/>
      </c>
    </row>
    <row r="461" customFormat="false" ht="15" hidden="false" customHeight="false" outlineLevel="0" collapsed="false">
      <c r="A461" s="0" t="s">
        <v>491</v>
      </c>
      <c r="B461" s="2" t="n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3</v>
      </c>
      <c r="N461" s="0" t="n">
        <v>0</v>
      </c>
      <c r="P461" s="0" t="n">
        <v>43.7</v>
      </c>
      <c r="Q461" s="3" t="n">
        <f aca="false">IF($C461="Control",$P461,"")</f>
        <v>43.7</v>
      </c>
      <c r="R461" s="0" t="str">
        <f aca="false">IF($C461="Treatment",$P461,"")</f>
        <v/>
      </c>
      <c r="S461" s="0" t="str">
        <f aca="false">IF(AND($C461="Control",$K461=1),$L461,"")</f>
        <v/>
      </c>
      <c r="T461" s="0" t="str">
        <f aca="false">IF(AND($C461="Treatment",$K461=1),$L461,"")</f>
        <v/>
      </c>
    </row>
    <row r="462" customFormat="false" ht="15" hidden="false" customHeight="false" outlineLevel="0" collapsed="false">
      <c r="A462" s="0" t="s">
        <v>492</v>
      </c>
      <c r="B462" s="2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0" t="n">
        <v>1</v>
      </c>
      <c r="I462" s="0" t="n">
        <v>1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P462" s="0" t="n">
        <v>51.3</v>
      </c>
      <c r="Q462" s="3" t="n">
        <f aca="false">IF($C462="Control",$P462,"")</f>
        <v>51.3</v>
      </c>
      <c r="R462" s="0" t="str">
        <f aca="false">IF($C462="Treatment",$P462,"")</f>
        <v/>
      </c>
      <c r="S462" s="0" t="str">
        <f aca="false">IF(AND($C462="Control",$K462=1),$L462,"")</f>
        <v/>
      </c>
      <c r="T462" s="0" t="str">
        <f aca="false">IF(AND($C462="Treatment",$K462=1),$L462,"")</f>
        <v/>
      </c>
    </row>
    <row r="463" customFormat="false" ht="15" hidden="false" customHeight="false" outlineLevel="0" collapsed="false">
      <c r="A463" s="0" t="s">
        <v>493</v>
      </c>
      <c r="B463" s="2" t="n">
        <v>45796</v>
      </c>
      <c r="C463" s="3" t="s">
        <v>17</v>
      </c>
      <c r="D463" s="3" t="s">
        <v>18</v>
      </c>
      <c r="E463" s="3" t="s">
        <v>1470</v>
      </c>
      <c r="F463" s="3" t="s">
        <v>25</v>
      </c>
      <c r="G463" s="3" t="s">
        <v>21</v>
      </c>
      <c r="H463" s="0" t="n">
        <v>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P463" s="0" t="n">
        <v>50.5</v>
      </c>
      <c r="Q463" s="3" t="n">
        <f aca="false">IF($C463="Control",$P463,"")</f>
        <v>50.5</v>
      </c>
      <c r="R463" s="0" t="str">
        <f aca="false">IF($C463="Treatment",$P463,"")</f>
        <v/>
      </c>
      <c r="S463" s="0" t="str">
        <f aca="false">IF(AND($C463="Control",$K463=1),$L463,"")</f>
        <v/>
      </c>
      <c r="T463" s="0" t="str">
        <f aca="false">IF(AND($C463="Treatment",$K463=1),$L463,"")</f>
        <v/>
      </c>
    </row>
    <row r="464" customFormat="false" ht="15" hidden="false" customHeight="false" outlineLevel="0" collapsed="false">
      <c r="A464" s="0" t="s">
        <v>494</v>
      </c>
      <c r="B464" s="2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0" t="n">
        <v>1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P464" s="0" t="n">
        <v>57.3</v>
      </c>
      <c r="Q464" s="3" t="n">
        <f aca="false">IF($C464="Control",$P464,"")</f>
        <v>57.3</v>
      </c>
      <c r="R464" s="0" t="str">
        <f aca="false">IF($C464="Treatment",$P464,"")</f>
        <v/>
      </c>
      <c r="S464" s="0" t="str">
        <f aca="false">IF(AND($C464="Control",$K464=1),$L464,"")</f>
        <v/>
      </c>
      <c r="T464" s="0" t="str">
        <f aca="false">IF(AND($C464="Treatment",$K464=1),$L464,"")</f>
        <v/>
      </c>
    </row>
    <row r="465" customFormat="false" ht="15" hidden="false" customHeight="false" outlineLevel="0" collapsed="false">
      <c r="A465" s="0" t="s">
        <v>495</v>
      </c>
      <c r="B465" s="2" t="n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0" t="n">
        <v>1</v>
      </c>
      <c r="I465" s="0" t="n">
        <v>1</v>
      </c>
      <c r="J465" s="0" t="n">
        <v>1</v>
      </c>
      <c r="K465" s="0" t="n">
        <v>0</v>
      </c>
      <c r="L465" s="0" t="n">
        <v>0</v>
      </c>
      <c r="M465" s="0" t="n">
        <v>0</v>
      </c>
      <c r="N465" s="0" t="n">
        <v>0</v>
      </c>
      <c r="P465" s="0" t="n">
        <v>58.4</v>
      </c>
      <c r="Q465" s="3" t="n">
        <f aca="false">IF($C465="Control",$P465,"")</f>
        <v>58.4</v>
      </c>
      <c r="R465" s="0" t="str">
        <f aca="false">IF($C465="Treatment",$P465,"")</f>
        <v/>
      </c>
      <c r="S465" s="0" t="str">
        <f aca="false">IF(AND($C465="Control",$K465=1),$L465,"")</f>
        <v/>
      </c>
      <c r="T465" s="0" t="str">
        <f aca="false">IF(AND($C465="Treatment",$K465=1),$L465,"")</f>
        <v/>
      </c>
    </row>
    <row r="466" customFormat="false" ht="15" hidden="false" customHeight="false" outlineLevel="0" collapsed="false">
      <c r="A466" s="0" t="s">
        <v>496</v>
      </c>
      <c r="B466" s="2" t="n">
        <v>45759</v>
      </c>
      <c r="C466" s="3" t="s">
        <v>17</v>
      </c>
      <c r="D466" s="3" t="s">
        <v>18</v>
      </c>
      <c r="E466" s="3" t="s">
        <v>24</v>
      </c>
      <c r="F466" s="3" t="s">
        <v>1470</v>
      </c>
      <c r="G466" s="3" t="s">
        <v>26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P466" s="0" t="n">
        <v>56.5</v>
      </c>
      <c r="Q466" s="3" t="n">
        <f aca="false">IF($C466="Control",$P466,"")</f>
        <v>56.5</v>
      </c>
      <c r="R466" s="0" t="str">
        <f aca="false">IF($C466="Treatment",$P466,"")</f>
        <v/>
      </c>
      <c r="S466" s="0" t="str">
        <f aca="false">IF(AND($C466="Control",$K466=1),$L466,"")</f>
        <v/>
      </c>
      <c r="T466" s="0" t="str">
        <f aca="false">IF(AND($C466="Treatment",$K466=1),$L466,"")</f>
        <v/>
      </c>
    </row>
    <row r="467" customFormat="false" ht="15" hidden="false" customHeight="false" outlineLevel="0" collapsed="false">
      <c r="A467" s="0" t="s">
        <v>497</v>
      </c>
      <c r="B467" s="2" t="n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P467" s="0" t="n">
        <v>69.6</v>
      </c>
      <c r="Q467" s="3" t="n">
        <f aca="false">IF($C467="Control",$P467,"")</f>
        <v>69.6</v>
      </c>
      <c r="R467" s="0" t="str">
        <f aca="false">IF($C467="Treatment",$P467,"")</f>
        <v/>
      </c>
      <c r="S467" s="0" t="str">
        <f aca="false">IF(AND($C467="Control",$K467=1),$L467,"")</f>
        <v/>
      </c>
      <c r="T467" s="0" t="str">
        <f aca="false">IF(AND($C467="Treatment",$K467=1),$L467,"")</f>
        <v/>
      </c>
    </row>
    <row r="468" customFormat="false" ht="15" hidden="false" customHeight="false" outlineLevel="0" collapsed="false">
      <c r="A468" s="0" t="s">
        <v>498</v>
      </c>
      <c r="B468" s="2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P468" s="0" t="n">
        <v>6.2</v>
      </c>
      <c r="Q468" s="3" t="n">
        <f aca="false">IF($C468="Control",$P468,"")</f>
        <v>6.2</v>
      </c>
      <c r="R468" s="0" t="str">
        <f aca="false">IF($C468="Treatment",$P468,"")</f>
        <v/>
      </c>
      <c r="S468" s="0" t="str">
        <f aca="false">IF(AND($C468="Control",$K468=1),$L468,"")</f>
        <v/>
      </c>
      <c r="T468" s="0" t="str">
        <f aca="false">IF(AND($C468="Treatment",$K468=1),$L468,"")</f>
        <v/>
      </c>
    </row>
    <row r="469" customFormat="false" ht="15" hidden="false" customHeight="false" outlineLevel="0" collapsed="false">
      <c r="A469" s="0" t="s">
        <v>499</v>
      </c>
      <c r="B469" s="2" t="n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0" t="n">
        <v>1</v>
      </c>
      <c r="I469" s="0" t="n">
        <v>1</v>
      </c>
      <c r="J469" s="0" t="n">
        <v>1</v>
      </c>
      <c r="K469" s="0" t="n">
        <v>0</v>
      </c>
      <c r="L469" s="0" t="n">
        <v>0</v>
      </c>
      <c r="M469" s="0" t="n">
        <v>0</v>
      </c>
      <c r="N469" s="0" t="n">
        <v>0</v>
      </c>
      <c r="P469" s="0" t="n">
        <v>54.3</v>
      </c>
      <c r="Q469" s="3" t="n">
        <f aca="false">IF($C469="Control",$P469,"")</f>
        <v>54.3</v>
      </c>
      <c r="R469" s="0" t="str">
        <f aca="false">IF($C469="Treatment",$P469,"")</f>
        <v/>
      </c>
      <c r="S469" s="0" t="str">
        <f aca="false">IF(AND($C469="Control",$K469=1),$L469,"")</f>
        <v/>
      </c>
      <c r="T469" s="0" t="str">
        <f aca="false">IF(AND($C469="Treatment",$K469=1),$L469,"")</f>
        <v/>
      </c>
    </row>
    <row r="470" customFormat="false" ht="15" hidden="false" customHeight="false" outlineLevel="0" collapsed="false">
      <c r="A470" s="0" t="s">
        <v>500</v>
      </c>
      <c r="B470" s="2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P470" s="0" t="n">
        <v>59.8</v>
      </c>
      <c r="Q470" s="3" t="n">
        <f aca="false">IF($C470="Control",$P470,"")</f>
        <v>59.8</v>
      </c>
      <c r="R470" s="0" t="str">
        <f aca="false">IF($C470="Treatment",$P470,"")</f>
        <v/>
      </c>
      <c r="S470" s="0" t="str">
        <f aca="false">IF(AND($C470="Control",$K470=1),$L470,"")</f>
        <v/>
      </c>
      <c r="T470" s="0" t="str">
        <f aca="false">IF(AND($C470="Treatment",$K470=1),$L470,"")</f>
        <v/>
      </c>
    </row>
    <row r="471" customFormat="false" ht="15" hidden="false" customHeight="false" outlineLevel="0" collapsed="false">
      <c r="A471" s="0" t="s">
        <v>501</v>
      </c>
      <c r="B471" s="2" t="n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P471" s="0" t="n">
        <v>58.9</v>
      </c>
      <c r="Q471" s="3" t="n">
        <f aca="false">IF($C471="Control",$P471,"")</f>
        <v>58.9</v>
      </c>
      <c r="R471" s="0" t="str">
        <f aca="false">IF($C471="Treatment",$P471,"")</f>
        <v/>
      </c>
      <c r="S471" s="0" t="str">
        <f aca="false">IF(AND($C471="Control",$K471=1),$L471,"")</f>
        <v/>
      </c>
      <c r="T471" s="0" t="str">
        <f aca="false">IF(AND($C471="Treatment",$K471=1),$L471,"")</f>
        <v/>
      </c>
    </row>
    <row r="472" customFormat="false" ht="15" hidden="false" customHeight="false" outlineLevel="0" collapsed="false">
      <c r="A472" s="0" t="s">
        <v>502</v>
      </c>
      <c r="B472" s="2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0</v>
      </c>
      <c r="P472" s="0" t="n">
        <v>52.9</v>
      </c>
      <c r="Q472" s="3" t="n">
        <f aca="false">IF($C472="Control",$P472,"")</f>
        <v>52.9</v>
      </c>
      <c r="R472" s="0" t="str">
        <f aca="false">IF($C472="Treatment",$P472,"")</f>
        <v/>
      </c>
      <c r="S472" s="0" t="str">
        <f aca="false">IF(AND($C472="Control",$K472=1),$L472,"")</f>
        <v/>
      </c>
      <c r="T472" s="0" t="str">
        <f aca="false">IF(AND($C472="Treatment",$K472=1),$L472,"")</f>
        <v/>
      </c>
    </row>
    <row r="473" customFormat="false" ht="15" hidden="false" customHeight="false" outlineLevel="0" collapsed="false">
      <c r="A473" s="0" t="s">
        <v>503</v>
      </c>
      <c r="B473" s="2" t="n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P473" s="0" t="n">
        <v>67.8</v>
      </c>
      <c r="Q473" s="3" t="n">
        <f aca="false">IF($C473="Control",$P473,"")</f>
        <v>67.8</v>
      </c>
      <c r="R473" s="0" t="str">
        <f aca="false">IF($C473="Treatment",$P473,"")</f>
        <v/>
      </c>
      <c r="S473" s="0" t="str">
        <f aca="false">IF(AND($C473="Control",$K473=1),$L473,"")</f>
        <v/>
      </c>
      <c r="T473" s="0" t="str">
        <f aca="false">IF(AND($C473="Treatment",$K473=1),$L473,"")</f>
        <v/>
      </c>
    </row>
    <row r="474" customFormat="false" ht="15" hidden="false" customHeight="false" outlineLevel="0" collapsed="false">
      <c r="A474" s="0" t="s">
        <v>504</v>
      </c>
      <c r="B474" s="2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P474" s="0" t="n">
        <v>48.7</v>
      </c>
      <c r="Q474" s="3" t="n">
        <f aca="false">IF($C474="Control",$P474,"")</f>
        <v>48.7</v>
      </c>
      <c r="R474" s="0" t="str">
        <f aca="false">IF($C474="Treatment",$P474,"")</f>
        <v/>
      </c>
      <c r="S474" s="0" t="str">
        <f aca="false">IF(AND($C474="Control",$K474=1),$L474,"")</f>
        <v/>
      </c>
      <c r="T474" s="0" t="str">
        <f aca="false">IF(AND($C474="Treatment",$K474=1),$L474,"")</f>
        <v/>
      </c>
    </row>
    <row r="475" customFormat="false" ht="15" hidden="false" customHeight="false" outlineLevel="0" collapsed="false">
      <c r="A475" s="0" t="s">
        <v>505</v>
      </c>
      <c r="B475" s="2" t="n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P475" s="0" t="n">
        <v>59</v>
      </c>
      <c r="Q475" s="3" t="n">
        <f aca="false">IF($C475="Control",$P475,"")</f>
        <v>59</v>
      </c>
      <c r="R475" s="0" t="str">
        <f aca="false">IF($C475="Treatment",$P475,"")</f>
        <v/>
      </c>
      <c r="S475" s="0" t="str">
        <f aca="false">IF(AND($C475="Control",$K475=1),$L475,"")</f>
        <v/>
      </c>
      <c r="T475" s="0" t="str">
        <f aca="false">IF(AND($C475="Treatment",$K475=1),$L475,"")</f>
        <v/>
      </c>
    </row>
    <row r="476" customFormat="false" ht="15" hidden="false" customHeight="false" outlineLevel="0" collapsed="false">
      <c r="A476" s="0" t="s">
        <v>506</v>
      </c>
      <c r="B476" s="2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P476" s="0" t="n">
        <v>63.2</v>
      </c>
      <c r="Q476" s="3" t="n">
        <f aca="false">IF($C476="Control",$P476,"")</f>
        <v>63.2</v>
      </c>
      <c r="R476" s="0" t="str">
        <f aca="false">IF($C476="Treatment",$P476,"")</f>
        <v/>
      </c>
      <c r="S476" s="0" t="str">
        <f aca="false">IF(AND($C476="Control",$K476=1),$L476,"")</f>
        <v/>
      </c>
      <c r="T476" s="0" t="str">
        <f aca="false">IF(AND($C476="Treatment",$K476=1),$L476,"")</f>
        <v/>
      </c>
    </row>
    <row r="477" customFormat="false" ht="15" hidden="false" customHeight="false" outlineLevel="0" collapsed="false">
      <c r="A477" s="0" t="s">
        <v>507</v>
      </c>
      <c r="B477" s="2" t="n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0" t="n">
        <v>1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P477" s="0" t="n">
        <v>68.7</v>
      </c>
      <c r="Q477" s="3" t="n">
        <f aca="false">IF($C477="Control",$P477,"")</f>
        <v>68.7</v>
      </c>
      <c r="R477" s="0" t="str">
        <f aca="false">IF($C477="Treatment",$P477,"")</f>
        <v/>
      </c>
      <c r="S477" s="0" t="str">
        <f aca="false">IF(AND($C477="Control",$K477=1),$L477,"")</f>
        <v/>
      </c>
      <c r="T477" s="0" t="str">
        <f aca="false">IF(AND($C477="Treatment",$K477=1),$L477,"")</f>
        <v/>
      </c>
    </row>
    <row r="478" customFormat="false" ht="15" hidden="false" customHeight="false" outlineLevel="0" collapsed="false">
      <c r="A478" s="0" t="s">
        <v>508</v>
      </c>
      <c r="B478" s="2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P478" s="0" t="n">
        <v>52.1</v>
      </c>
      <c r="Q478" s="3" t="n">
        <f aca="false">IF($C478="Control",$P478,"")</f>
        <v>52.1</v>
      </c>
      <c r="R478" s="0" t="str">
        <f aca="false">IF($C478="Treatment",$P478,"")</f>
        <v/>
      </c>
      <c r="S478" s="0" t="str">
        <f aca="false">IF(AND($C478="Control",$K478=1),$L478,"")</f>
        <v/>
      </c>
      <c r="T478" s="0" t="str">
        <f aca="false">IF(AND($C478="Treatment",$K478=1),$L478,"")</f>
        <v/>
      </c>
    </row>
    <row r="479" customFormat="false" ht="15" hidden="false" customHeight="false" outlineLevel="0" collapsed="false">
      <c r="A479" s="0" t="s">
        <v>509</v>
      </c>
      <c r="B479" s="2" t="n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P479" s="0" t="n">
        <v>56.5</v>
      </c>
      <c r="Q479" s="3" t="n">
        <f aca="false">IF($C479="Control",$P479,"")</f>
        <v>56.5</v>
      </c>
      <c r="R479" s="0" t="str">
        <f aca="false">IF($C479="Treatment",$P479,"")</f>
        <v/>
      </c>
      <c r="S479" s="0" t="str">
        <f aca="false">IF(AND($C479="Control",$K479=1),$L479,"")</f>
        <v/>
      </c>
      <c r="T479" s="0" t="str">
        <f aca="false">IF(AND($C479="Treatment",$K479=1),$L479,"")</f>
        <v/>
      </c>
    </row>
    <row r="480" customFormat="false" ht="15" hidden="false" customHeight="false" outlineLevel="0" collapsed="false">
      <c r="A480" s="0" t="s">
        <v>510</v>
      </c>
      <c r="B480" s="2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0" t="n">
        <v>1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P480" s="0" t="n">
        <v>64.4</v>
      </c>
      <c r="Q480" s="3" t="n">
        <f aca="false">IF($C480="Control",$P480,"")</f>
        <v>64.4</v>
      </c>
      <c r="R480" s="0" t="str">
        <f aca="false">IF($C480="Treatment",$P480,"")</f>
        <v/>
      </c>
      <c r="S480" s="0" t="str">
        <f aca="false">IF(AND($C480="Control",$K480=1),$L480,"")</f>
        <v/>
      </c>
      <c r="T480" s="0" t="str">
        <f aca="false">IF(AND($C480="Treatment",$K480=1),$L480,"")</f>
        <v/>
      </c>
    </row>
    <row r="481" customFormat="false" ht="15" hidden="false" customHeight="false" outlineLevel="0" collapsed="false">
      <c r="A481" s="0" t="s">
        <v>511</v>
      </c>
      <c r="B481" s="2" t="n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0" t="n">
        <v>1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P481" s="0" t="n">
        <v>65.9</v>
      </c>
      <c r="Q481" s="3" t="n">
        <f aca="false">IF($C481="Control",$P481,"")</f>
        <v>65.9</v>
      </c>
      <c r="R481" s="0" t="str">
        <f aca="false">IF($C481="Treatment",$P481,"")</f>
        <v/>
      </c>
      <c r="S481" s="0" t="str">
        <f aca="false">IF(AND($C481="Control",$K481=1),$L481,"")</f>
        <v/>
      </c>
      <c r="T481" s="0" t="str">
        <f aca="false">IF(AND($C481="Treatment",$K481=1),$L481,"")</f>
        <v/>
      </c>
    </row>
    <row r="482" customFormat="false" ht="15" hidden="false" customHeight="false" outlineLevel="0" collapsed="false">
      <c r="A482" s="0" t="s">
        <v>512</v>
      </c>
      <c r="B482" s="2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0" t="n">
        <v>1</v>
      </c>
      <c r="I482" s="0" t="n">
        <v>1</v>
      </c>
      <c r="J482" s="0" t="n">
        <v>1</v>
      </c>
      <c r="K482" s="0" t="n">
        <v>0</v>
      </c>
      <c r="L482" s="0" t="n">
        <v>0</v>
      </c>
      <c r="M482" s="0" t="n">
        <v>0</v>
      </c>
      <c r="N482" s="0" t="n">
        <v>0</v>
      </c>
      <c r="P482" s="0" t="n">
        <v>100</v>
      </c>
      <c r="Q482" s="3" t="n">
        <f aca="false">IF($C482="Control",$P482,"")</f>
        <v>100</v>
      </c>
      <c r="R482" s="0" t="str">
        <f aca="false">IF($C482="Treatment",$P482,"")</f>
        <v/>
      </c>
      <c r="S482" s="0" t="str">
        <f aca="false">IF(AND($C482="Control",$K482=1),$L482,"")</f>
        <v/>
      </c>
      <c r="T482" s="0" t="str">
        <f aca="false">IF(AND($C482="Treatment",$K482=1),$L482,"")</f>
        <v/>
      </c>
    </row>
    <row r="483" customFormat="false" ht="15" hidden="false" customHeight="false" outlineLevel="0" collapsed="false">
      <c r="A483" s="0" t="s">
        <v>513</v>
      </c>
      <c r="B483" s="2" t="n">
        <v>45701</v>
      </c>
      <c r="C483" s="3" t="s">
        <v>17</v>
      </c>
      <c r="D483" s="3" t="s">
        <v>18</v>
      </c>
      <c r="E483" s="3" t="s">
        <v>1470</v>
      </c>
      <c r="F483" s="3" t="s">
        <v>25</v>
      </c>
      <c r="G483" s="3" t="s">
        <v>21</v>
      </c>
      <c r="H483" s="0" t="n">
        <v>1</v>
      </c>
      <c r="I483" s="0" t="n">
        <v>1</v>
      </c>
      <c r="J483" s="0" t="n">
        <v>1</v>
      </c>
      <c r="K483" s="0" t="n">
        <v>0</v>
      </c>
      <c r="L483" s="0" t="n">
        <v>0</v>
      </c>
      <c r="M483" s="0" t="n">
        <v>0</v>
      </c>
      <c r="N483" s="0" t="n">
        <v>0</v>
      </c>
      <c r="P483" s="0" t="n">
        <v>50.4</v>
      </c>
      <c r="Q483" s="3" t="n">
        <f aca="false">IF($C483="Control",$P483,"")</f>
        <v>50.4</v>
      </c>
      <c r="R483" s="0" t="str">
        <f aca="false">IF($C483="Treatment",$P483,"")</f>
        <v/>
      </c>
      <c r="S483" s="0" t="str">
        <f aca="false">IF(AND($C483="Control",$K483=1),$L483,"")</f>
        <v/>
      </c>
      <c r="T483" s="0" t="str">
        <f aca="false">IF(AND($C483="Treatment",$K483=1),$L483,"")</f>
        <v/>
      </c>
    </row>
    <row r="484" customFormat="false" ht="15" hidden="false" customHeight="false" outlineLevel="0" collapsed="false">
      <c r="A484" s="0" t="s">
        <v>514</v>
      </c>
      <c r="B484" s="2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P484" s="0" t="n">
        <v>41.5</v>
      </c>
      <c r="Q484" s="3" t="n">
        <f aca="false">IF($C484="Control",$P484,"")</f>
        <v>41.5</v>
      </c>
      <c r="R484" s="0" t="str">
        <f aca="false">IF($C484="Treatment",$P484,"")</f>
        <v/>
      </c>
      <c r="S484" s="0" t="str">
        <f aca="false">IF(AND($C484="Control",$K484=1),$L484,"")</f>
        <v/>
      </c>
      <c r="T484" s="0" t="str">
        <f aca="false">IF(AND($C484="Treatment",$K484=1),$L484,"")</f>
        <v/>
      </c>
    </row>
    <row r="485" customFormat="false" ht="15" hidden="false" customHeight="false" outlineLevel="0" collapsed="false">
      <c r="A485" s="0" t="s">
        <v>515</v>
      </c>
      <c r="B485" s="2" t="n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P485" s="0" t="n">
        <v>86.2</v>
      </c>
      <c r="Q485" s="3" t="n">
        <f aca="false">IF($C485="Control",$P485,"")</f>
        <v>86.2</v>
      </c>
      <c r="R485" s="0" t="str">
        <f aca="false">IF($C485="Treatment",$P485,"")</f>
        <v/>
      </c>
      <c r="S485" s="0" t="str">
        <f aca="false">IF(AND($C485="Control",$K485=1),$L485,"")</f>
        <v/>
      </c>
      <c r="T485" s="0" t="str">
        <f aca="false">IF(AND($C485="Treatment",$K485=1),$L485,"")</f>
        <v/>
      </c>
    </row>
    <row r="486" customFormat="false" ht="15" hidden="false" customHeight="false" outlineLevel="0" collapsed="false">
      <c r="A486" s="0" t="s">
        <v>516</v>
      </c>
      <c r="B486" s="2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0" t="n">
        <v>1</v>
      </c>
      <c r="I486" s="0" t="n">
        <v>1</v>
      </c>
      <c r="J486" s="0" t="n">
        <v>1</v>
      </c>
      <c r="K486" s="0" t="n">
        <v>0</v>
      </c>
      <c r="L486" s="0" t="n">
        <v>0</v>
      </c>
      <c r="M486" s="0" t="n">
        <v>2</v>
      </c>
      <c r="N486" s="0" t="n">
        <v>0</v>
      </c>
      <c r="P486" s="0" t="n">
        <v>50.8</v>
      </c>
      <c r="Q486" s="3" t="n">
        <f aca="false">IF($C486="Control",$P486,"")</f>
        <v>50.8</v>
      </c>
      <c r="R486" s="0" t="str">
        <f aca="false">IF($C486="Treatment",$P486,"")</f>
        <v/>
      </c>
      <c r="S486" s="0" t="str">
        <f aca="false">IF(AND($C486="Control",$K486=1),$L486,"")</f>
        <v/>
      </c>
      <c r="T486" s="0" t="str">
        <f aca="false">IF(AND($C486="Treatment",$K486=1),$L486,"")</f>
        <v/>
      </c>
    </row>
    <row r="487" customFormat="false" ht="15" hidden="false" customHeight="false" outlineLevel="0" collapsed="false">
      <c r="A487" s="0" t="s">
        <v>517</v>
      </c>
      <c r="B487" s="2" t="n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0" t="n">
        <v>1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P487" s="0" t="n">
        <v>50.9</v>
      </c>
      <c r="Q487" s="3" t="n">
        <f aca="false">IF($C487="Control",$P487,"")</f>
        <v>50.9</v>
      </c>
      <c r="R487" s="0" t="str">
        <f aca="false">IF($C487="Treatment",$P487,"")</f>
        <v/>
      </c>
      <c r="S487" s="0" t="str">
        <f aca="false">IF(AND($C487="Control",$K487=1),$L487,"")</f>
        <v/>
      </c>
      <c r="T487" s="0" t="str">
        <f aca="false">IF(AND($C487="Treatment",$K487=1),$L487,"")</f>
        <v/>
      </c>
    </row>
    <row r="488" customFormat="false" ht="15" hidden="false" customHeight="false" outlineLevel="0" collapsed="false">
      <c r="A488" s="0" t="s">
        <v>518</v>
      </c>
      <c r="B488" s="2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0" t="n">
        <v>1</v>
      </c>
      <c r="I488" s="0" t="n">
        <v>1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P488" s="0" t="n">
        <v>87.5</v>
      </c>
      <c r="Q488" s="3" t="n">
        <f aca="false">IF($C488="Control",$P488,"")</f>
        <v>87.5</v>
      </c>
      <c r="R488" s="0" t="str">
        <f aca="false">IF($C488="Treatment",$P488,"")</f>
        <v/>
      </c>
      <c r="S488" s="0" t="str">
        <f aca="false">IF(AND($C488="Control",$K488=1),$L488,"")</f>
        <v/>
      </c>
      <c r="T488" s="0" t="str">
        <f aca="false">IF(AND($C488="Treatment",$K488=1),$L488,"")</f>
        <v/>
      </c>
    </row>
    <row r="489" customFormat="false" ht="15" hidden="false" customHeight="false" outlineLevel="0" collapsed="false">
      <c r="A489" s="0" t="s">
        <v>519</v>
      </c>
      <c r="B489" s="2" t="n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P489" s="0" t="n">
        <v>43.6</v>
      </c>
      <c r="Q489" s="3" t="n">
        <f aca="false">IF($C489="Control",$P489,"")</f>
        <v>43.6</v>
      </c>
      <c r="R489" s="0" t="str">
        <f aca="false">IF($C489="Treatment",$P489,"")</f>
        <v/>
      </c>
      <c r="S489" s="0" t="str">
        <f aca="false">IF(AND($C489="Control",$K489=1),$L489,"")</f>
        <v/>
      </c>
      <c r="T489" s="0" t="str">
        <f aca="false">IF(AND($C489="Treatment",$K489=1),$L489,"")</f>
        <v/>
      </c>
    </row>
    <row r="490" customFormat="false" ht="15" hidden="false" customHeight="false" outlineLevel="0" collapsed="false">
      <c r="A490" s="0" t="s">
        <v>520</v>
      </c>
      <c r="B490" s="2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0" t="n">
        <v>1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P490" s="0" t="n">
        <v>55.5</v>
      </c>
      <c r="Q490" s="3" t="n">
        <f aca="false">IF($C490="Control",$P490,"")</f>
        <v>55.5</v>
      </c>
      <c r="R490" s="0" t="str">
        <f aca="false">IF($C490="Treatment",$P490,"")</f>
        <v/>
      </c>
      <c r="S490" s="0" t="str">
        <f aca="false">IF(AND($C490="Control",$K490=1),$L490,"")</f>
        <v/>
      </c>
      <c r="T490" s="0" t="str">
        <f aca="false">IF(AND($C490="Treatment",$K490=1),$L490,"")</f>
        <v/>
      </c>
    </row>
    <row r="491" customFormat="false" ht="15" hidden="false" customHeight="false" outlineLevel="0" collapsed="false">
      <c r="A491" s="0" t="s">
        <v>521</v>
      </c>
      <c r="B491" s="2" t="n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P491" s="0" t="n">
        <v>78.6</v>
      </c>
      <c r="Q491" s="3" t="n">
        <f aca="false">IF($C491="Control",$P491,"")</f>
        <v>78.6</v>
      </c>
      <c r="R491" s="0" t="str">
        <f aca="false">IF($C491="Treatment",$P491,"")</f>
        <v/>
      </c>
      <c r="S491" s="0" t="str">
        <f aca="false">IF(AND($C491="Control",$K491=1),$L491,"")</f>
        <v/>
      </c>
      <c r="T491" s="0" t="str">
        <f aca="false">IF(AND($C491="Treatment",$K491=1),$L491,"")</f>
        <v/>
      </c>
    </row>
    <row r="492" customFormat="false" ht="15" hidden="false" customHeight="false" outlineLevel="0" collapsed="false">
      <c r="A492" s="0" t="s">
        <v>522</v>
      </c>
      <c r="B492" s="2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0" t="n">
        <v>1</v>
      </c>
      <c r="I492" s="0" t="n">
        <v>1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0</v>
      </c>
      <c r="P492" s="0" t="n">
        <v>44.3</v>
      </c>
      <c r="Q492" s="3" t="n">
        <f aca="false">IF($C492="Control",$P492,"")</f>
        <v>44.3</v>
      </c>
      <c r="R492" s="0" t="str">
        <f aca="false">IF($C492="Treatment",$P492,"")</f>
        <v/>
      </c>
      <c r="S492" s="0" t="str">
        <f aca="false">IF(AND($C492="Control",$K492=1),$L492,"")</f>
        <v/>
      </c>
      <c r="T492" s="0" t="str">
        <f aca="false">IF(AND($C492="Treatment",$K492=1),$L492,"")</f>
        <v/>
      </c>
    </row>
    <row r="493" customFormat="false" ht="15" hidden="false" customHeight="false" outlineLevel="0" collapsed="false">
      <c r="A493" s="0" t="s">
        <v>523</v>
      </c>
      <c r="B493" s="2" t="n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0" t="n">
        <v>1</v>
      </c>
      <c r="I493" s="0" t="n">
        <v>1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P493" s="0" t="n">
        <v>45.2</v>
      </c>
      <c r="Q493" s="3" t="n">
        <f aca="false">IF($C493="Control",$P493,"")</f>
        <v>45.2</v>
      </c>
      <c r="R493" s="0" t="str">
        <f aca="false">IF($C493="Treatment",$P493,"")</f>
        <v/>
      </c>
      <c r="S493" s="0" t="str">
        <f aca="false">IF(AND($C493="Control",$K493=1),$L493,"")</f>
        <v/>
      </c>
      <c r="T493" s="0" t="str">
        <f aca="false">IF(AND($C493="Treatment",$K493=1),$L493,"")</f>
        <v/>
      </c>
    </row>
    <row r="494" customFormat="false" ht="15" hidden="false" customHeight="false" outlineLevel="0" collapsed="false">
      <c r="A494" s="0" t="s">
        <v>524</v>
      </c>
      <c r="B494" s="2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0" t="n">
        <v>1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2</v>
      </c>
      <c r="N494" s="0" t="n">
        <v>0</v>
      </c>
      <c r="P494" s="0" t="n">
        <v>46.1</v>
      </c>
      <c r="Q494" s="3" t="n">
        <f aca="false">IF($C494="Control",$P494,"")</f>
        <v>46.1</v>
      </c>
      <c r="R494" s="0" t="str">
        <f aca="false">IF($C494="Treatment",$P494,"")</f>
        <v/>
      </c>
      <c r="S494" s="0" t="str">
        <f aca="false">IF(AND($C494="Control",$K494=1),$L494,"")</f>
        <v/>
      </c>
      <c r="T494" s="0" t="str">
        <f aca="false">IF(AND($C494="Treatment",$K494=1),$L494,"")</f>
        <v/>
      </c>
    </row>
    <row r="495" customFormat="false" ht="15" hidden="false" customHeight="false" outlineLevel="0" collapsed="false">
      <c r="A495" s="0" t="s">
        <v>525</v>
      </c>
      <c r="B495" s="2" t="n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0" t="n">
        <v>1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P495" s="0" t="n">
        <v>49.6</v>
      </c>
      <c r="Q495" s="3" t="n">
        <f aca="false">IF($C495="Control",$P495,"")</f>
        <v>49.6</v>
      </c>
      <c r="R495" s="0" t="str">
        <f aca="false">IF($C495="Treatment",$P495,"")</f>
        <v/>
      </c>
      <c r="S495" s="0" t="str">
        <f aca="false">IF(AND($C495="Control",$K495=1),$L495,"")</f>
        <v/>
      </c>
      <c r="T495" s="0" t="str">
        <f aca="false">IF(AND($C495="Treatment",$K495=1),$L495,"")</f>
        <v/>
      </c>
    </row>
    <row r="496" customFormat="false" ht="15" hidden="false" customHeight="false" outlineLevel="0" collapsed="false">
      <c r="A496" s="0" t="s">
        <v>526</v>
      </c>
      <c r="B496" s="2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P496" s="0" t="n">
        <v>70.5</v>
      </c>
      <c r="Q496" s="3" t="n">
        <f aca="false">IF($C496="Control",$P496,"")</f>
        <v>70.5</v>
      </c>
      <c r="R496" s="0" t="str">
        <f aca="false">IF($C496="Treatment",$P496,"")</f>
        <v/>
      </c>
      <c r="S496" s="0" t="str">
        <f aca="false">IF(AND($C496="Control",$K496=1),$L496,"")</f>
        <v/>
      </c>
      <c r="T496" s="0" t="str">
        <f aca="false">IF(AND($C496="Treatment",$K496=1),$L496,"")</f>
        <v/>
      </c>
    </row>
    <row r="497" customFormat="false" ht="15" hidden="false" customHeight="false" outlineLevel="0" collapsed="false">
      <c r="A497" s="0" t="s">
        <v>527</v>
      </c>
      <c r="B497" s="2" t="n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0</v>
      </c>
      <c r="P497" s="0" t="n">
        <v>60.8</v>
      </c>
      <c r="Q497" s="3" t="n">
        <f aca="false">IF($C497="Control",$P497,"")</f>
        <v>60.8</v>
      </c>
      <c r="R497" s="0" t="str">
        <f aca="false">IF($C497="Treatment",$P497,"")</f>
        <v/>
      </c>
      <c r="S497" s="0" t="str">
        <f aca="false">IF(AND($C497="Control",$K497=1),$L497,"")</f>
        <v/>
      </c>
      <c r="T497" s="0" t="str">
        <f aca="false">IF(AND($C497="Treatment",$K497=1),$L497,"")</f>
        <v/>
      </c>
    </row>
    <row r="498" customFormat="false" ht="15" hidden="false" customHeight="false" outlineLevel="0" collapsed="false">
      <c r="A498" s="0" t="s">
        <v>528</v>
      </c>
      <c r="B498" s="2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0</v>
      </c>
      <c r="P498" s="0" t="n">
        <v>50.5</v>
      </c>
      <c r="Q498" s="3" t="n">
        <f aca="false">IF($C498="Control",$P498,"")</f>
        <v>50.5</v>
      </c>
      <c r="R498" s="0" t="str">
        <f aca="false">IF($C498="Treatment",$P498,"")</f>
        <v/>
      </c>
      <c r="S498" s="0" t="str">
        <f aca="false">IF(AND($C498="Control",$K498=1),$L498,"")</f>
        <v/>
      </c>
      <c r="T498" s="0" t="str">
        <f aca="false">IF(AND($C498="Treatment",$K498=1),$L498,"")</f>
        <v/>
      </c>
    </row>
    <row r="499" customFormat="false" ht="15" hidden="false" customHeight="false" outlineLevel="0" collapsed="false">
      <c r="A499" s="0" t="s">
        <v>529</v>
      </c>
      <c r="B499" s="2" t="n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0" t="n">
        <v>1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P499" s="0" t="n">
        <v>54.9</v>
      </c>
      <c r="Q499" s="3" t="n">
        <f aca="false">IF($C499="Control",$P499,"")</f>
        <v>54.9</v>
      </c>
      <c r="R499" s="0" t="str">
        <f aca="false">IF($C499="Treatment",$P499,"")</f>
        <v/>
      </c>
      <c r="S499" s="0" t="str">
        <f aca="false">IF(AND($C499="Control",$K499=1),$L499,"")</f>
        <v/>
      </c>
      <c r="T499" s="0" t="str">
        <f aca="false">IF(AND($C499="Treatment",$K499=1),$L499,"")</f>
        <v/>
      </c>
    </row>
    <row r="500" customFormat="false" ht="15" hidden="false" customHeight="false" outlineLevel="0" collapsed="false">
      <c r="A500" s="0" t="s">
        <v>530</v>
      </c>
      <c r="B500" s="2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P500" s="0" t="n">
        <v>29.9</v>
      </c>
      <c r="Q500" s="3" t="n">
        <f aca="false">IF($C500="Control",$P500,"")</f>
        <v>29.9</v>
      </c>
      <c r="R500" s="0" t="str">
        <f aca="false">IF($C500="Treatment",$P500,"")</f>
        <v/>
      </c>
      <c r="S500" s="0" t="str">
        <f aca="false">IF(AND($C500="Control",$K500=1),$L500,"")</f>
        <v/>
      </c>
      <c r="T500" s="0" t="str">
        <f aca="false">IF(AND($C500="Treatment",$K500=1),$L500,"")</f>
        <v/>
      </c>
    </row>
    <row r="501" customFormat="false" ht="15" hidden="false" customHeight="false" outlineLevel="0" collapsed="false">
      <c r="A501" s="0" t="s">
        <v>531</v>
      </c>
      <c r="B501" s="2" t="n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P501" s="0" t="n">
        <v>48.3</v>
      </c>
      <c r="Q501" s="3" t="n">
        <f aca="false">IF($C501="Control",$P501,"")</f>
        <v>48.3</v>
      </c>
      <c r="R501" s="0" t="str">
        <f aca="false">IF($C501="Treatment",$P501,"")</f>
        <v/>
      </c>
      <c r="S501" s="0" t="str">
        <f aca="false">IF(AND($C501="Control",$K501=1),$L501,"")</f>
        <v/>
      </c>
      <c r="T501" s="0" t="str">
        <f aca="false">IF(AND($C501="Treatment",$K501=1),$L501,"")</f>
        <v/>
      </c>
    </row>
    <row r="502" customFormat="false" ht="15" hidden="false" customHeight="false" outlineLevel="0" collapsed="false">
      <c r="A502" s="0" t="s">
        <v>532</v>
      </c>
      <c r="B502" s="2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0" t="n">
        <v>1</v>
      </c>
      <c r="I502" s="0" t="n">
        <v>1</v>
      </c>
      <c r="J502" s="0" t="n">
        <v>1</v>
      </c>
      <c r="K502" s="0" t="n">
        <v>1</v>
      </c>
      <c r="L502" s="0" t="n">
        <v>513.61</v>
      </c>
      <c r="M502" s="0" t="n">
        <v>0</v>
      </c>
      <c r="N502" s="0" t="n">
        <v>0</v>
      </c>
      <c r="O502" s="0" t="n">
        <v>7</v>
      </c>
      <c r="P502" s="0" t="n">
        <v>41.3</v>
      </c>
      <c r="Q502" s="3" t="n">
        <f aca="false">IF($C502="Control",$P502,"")</f>
        <v>41.3</v>
      </c>
      <c r="R502" s="0" t="str">
        <f aca="false">IF($C502="Treatment",$P502,"")</f>
        <v/>
      </c>
      <c r="S502" s="3" t="n">
        <f aca="false">IF(AND($C502="Control",$K502=1),$L502,"")</f>
        <v>513.61</v>
      </c>
      <c r="T502" s="0" t="str">
        <f aca="false">IF(AND($C502="Treatment",$K502=1),$L502,"")</f>
        <v/>
      </c>
    </row>
    <row r="503" customFormat="false" ht="15" hidden="false" customHeight="false" outlineLevel="0" collapsed="false">
      <c r="A503" s="0" t="s">
        <v>533</v>
      </c>
      <c r="B503" s="2" t="n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P503" s="0" t="n">
        <v>61.4</v>
      </c>
      <c r="Q503" s="3" t="n">
        <f aca="false">IF($C503="Control",$P503,"")</f>
        <v>61.4</v>
      </c>
      <c r="R503" s="0" t="str">
        <f aca="false">IF($C503="Treatment",$P503,"")</f>
        <v/>
      </c>
      <c r="S503" s="0" t="str">
        <f aca="false">IF(AND($C503="Control",$K503=1),$L503,"")</f>
        <v/>
      </c>
      <c r="T503" s="0" t="str">
        <f aca="false">IF(AND($C503="Treatment",$K503=1),$L503,"")</f>
        <v/>
      </c>
    </row>
    <row r="504" customFormat="false" ht="15" hidden="false" customHeight="false" outlineLevel="0" collapsed="false">
      <c r="A504" s="0" t="s">
        <v>534</v>
      </c>
      <c r="B504" s="2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P504" s="0" t="n">
        <v>57.8</v>
      </c>
      <c r="Q504" s="3" t="n">
        <f aca="false">IF($C504="Control",$P504,"")</f>
        <v>57.8</v>
      </c>
      <c r="R504" s="0" t="str">
        <f aca="false">IF($C504="Treatment",$P504,"")</f>
        <v/>
      </c>
      <c r="S504" s="0" t="str">
        <f aca="false">IF(AND($C504="Control",$K504=1),$L504,"")</f>
        <v/>
      </c>
      <c r="T504" s="0" t="str">
        <f aca="false">IF(AND($C504="Treatment",$K504=1),$L504,"")</f>
        <v/>
      </c>
    </row>
    <row r="505" customFormat="false" ht="15" hidden="false" customHeight="false" outlineLevel="0" collapsed="false">
      <c r="A505" s="0" t="s">
        <v>535</v>
      </c>
      <c r="B505" s="2" t="n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P505" s="0" t="n">
        <v>78.2</v>
      </c>
      <c r="Q505" s="3" t="n">
        <f aca="false">IF($C505="Control",$P505,"")</f>
        <v>78.2</v>
      </c>
      <c r="R505" s="0" t="str">
        <f aca="false">IF($C505="Treatment",$P505,"")</f>
        <v/>
      </c>
      <c r="S505" s="0" t="str">
        <f aca="false">IF(AND($C505="Control",$K505=1),$L505,"")</f>
        <v/>
      </c>
      <c r="T505" s="0" t="str">
        <f aca="false">IF(AND($C505="Treatment",$K505=1),$L505,"")</f>
        <v/>
      </c>
    </row>
    <row r="506" customFormat="false" ht="15" hidden="false" customHeight="false" outlineLevel="0" collapsed="false">
      <c r="A506" s="0" t="s">
        <v>536</v>
      </c>
      <c r="B506" s="2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P506" s="0" t="n">
        <v>63.8</v>
      </c>
      <c r="Q506" s="3" t="n">
        <f aca="false">IF($C506="Control",$P506,"")</f>
        <v>63.8</v>
      </c>
      <c r="R506" s="0" t="str">
        <f aca="false">IF($C506="Treatment",$P506,"")</f>
        <v/>
      </c>
      <c r="S506" s="0" t="str">
        <f aca="false">IF(AND($C506="Control",$K506=1),$L506,"")</f>
        <v/>
      </c>
      <c r="T506" s="0" t="str">
        <f aca="false">IF(AND($C506="Treatment",$K506=1),$L506,"")</f>
        <v/>
      </c>
    </row>
    <row r="507" customFormat="false" ht="15" hidden="false" customHeight="false" outlineLevel="0" collapsed="false">
      <c r="A507" s="0" t="s">
        <v>537</v>
      </c>
      <c r="B507" s="2" t="n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0" t="n">
        <v>1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P507" s="0" t="n">
        <v>56.8</v>
      </c>
      <c r="Q507" s="3" t="n">
        <f aca="false">IF($C507="Control",$P507,"")</f>
        <v>56.8</v>
      </c>
      <c r="R507" s="0" t="str">
        <f aca="false">IF($C507="Treatment",$P507,"")</f>
        <v/>
      </c>
      <c r="S507" s="0" t="str">
        <f aca="false">IF(AND($C507="Control",$K507=1),$L507,"")</f>
        <v/>
      </c>
      <c r="T507" s="0" t="str">
        <f aca="false">IF(AND($C507="Treatment",$K507=1),$L507,"")</f>
        <v/>
      </c>
    </row>
    <row r="508" customFormat="false" ht="15" hidden="false" customHeight="false" outlineLevel="0" collapsed="false">
      <c r="A508" s="0" t="s">
        <v>538</v>
      </c>
      <c r="B508" s="2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0" t="n">
        <v>1</v>
      </c>
      <c r="I508" s="0" t="n">
        <v>1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P508" s="0" t="n">
        <v>59.6</v>
      </c>
      <c r="Q508" s="3" t="n">
        <f aca="false">IF($C508="Control",$P508,"")</f>
        <v>59.6</v>
      </c>
      <c r="R508" s="0" t="str">
        <f aca="false">IF($C508="Treatment",$P508,"")</f>
        <v/>
      </c>
      <c r="S508" s="0" t="str">
        <f aca="false">IF(AND($C508="Control",$K508=1),$L508,"")</f>
        <v/>
      </c>
      <c r="T508" s="0" t="str">
        <f aca="false">IF(AND($C508="Treatment",$K508=1),$L508,"")</f>
        <v/>
      </c>
    </row>
    <row r="509" customFormat="false" ht="15" hidden="false" customHeight="false" outlineLevel="0" collapsed="false">
      <c r="A509" s="0" t="s">
        <v>539</v>
      </c>
      <c r="B509" s="2" t="n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0" t="n">
        <v>1</v>
      </c>
      <c r="I509" s="0" t="n">
        <v>1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P509" s="0" t="n">
        <v>50</v>
      </c>
      <c r="Q509" s="3" t="n">
        <f aca="false">IF($C509="Control",$P509,"")</f>
        <v>50</v>
      </c>
      <c r="R509" s="0" t="str">
        <f aca="false">IF($C509="Treatment",$P509,"")</f>
        <v/>
      </c>
      <c r="S509" s="0" t="str">
        <f aca="false">IF(AND($C509="Control",$K509=1),$L509,"")</f>
        <v/>
      </c>
      <c r="T509" s="0" t="str">
        <f aca="false">IF(AND($C509="Treatment",$K509=1),$L509,"")</f>
        <v/>
      </c>
    </row>
    <row r="510" customFormat="false" ht="15" hidden="false" customHeight="false" outlineLevel="0" collapsed="false">
      <c r="A510" s="0" t="s">
        <v>540</v>
      </c>
      <c r="B510" s="2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0" t="n">
        <v>1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P510" s="0" t="n">
        <v>35.7</v>
      </c>
      <c r="Q510" s="3" t="n">
        <f aca="false">IF($C510="Control",$P510,"")</f>
        <v>35.7</v>
      </c>
      <c r="R510" s="0" t="str">
        <f aca="false">IF($C510="Treatment",$P510,"")</f>
        <v/>
      </c>
      <c r="S510" s="0" t="str">
        <f aca="false">IF(AND($C510="Control",$K510=1),$L510,"")</f>
        <v/>
      </c>
      <c r="T510" s="0" t="str">
        <f aca="false">IF(AND($C510="Treatment",$K510=1),$L510,"")</f>
        <v/>
      </c>
    </row>
    <row r="511" customFormat="false" ht="15" hidden="false" customHeight="false" outlineLevel="0" collapsed="false">
      <c r="A511" s="0" t="s">
        <v>541</v>
      </c>
      <c r="B511" s="2" t="n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2</v>
      </c>
      <c r="N511" s="0" t="n">
        <v>0</v>
      </c>
      <c r="P511" s="0" t="n">
        <v>47.2</v>
      </c>
      <c r="Q511" s="3" t="n">
        <f aca="false">IF($C511="Control",$P511,"")</f>
        <v>47.2</v>
      </c>
      <c r="R511" s="0" t="str">
        <f aca="false">IF($C511="Treatment",$P511,"")</f>
        <v/>
      </c>
      <c r="S511" s="0" t="str">
        <f aca="false">IF(AND($C511="Control",$K511=1),$L511,"")</f>
        <v/>
      </c>
      <c r="T511" s="0" t="str">
        <f aca="false">IF(AND($C511="Treatment",$K511=1),$L511,"")</f>
        <v/>
      </c>
    </row>
    <row r="512" customFormat="false" ht="15" hidden="false" customHeight="false" outlineLevel="0" collapsed="false">
      <c r="A512" s="0" t="s">
        <v>542</v>
      </c>
      <c r="B512" s="2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0" t="n">
        <v>1</v>
      </c>
      <c r="I512" s="0" t="n">
        <v>1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P512" s="0" t="n">
        <v>56.9</v>
      </c>
      <c r="Q512" s="3" t="n">
        <f aca="false">IF($C512="Control",$P512,"")</f>
        <v>56.9</v>
      </c>
      <c r="R512" s="0" t="str">
        <f aca="false">IF($C512="Treatment",$P512,"")</f>
        <v/>
      </c>
      <c r="S512" s="0" t="str">
        <f aca="false">IF(AND($C512="Control",$K512=1),$L512,"")</f>
        <v/>
      </c>
      <c r="T512" s="0" t="str">
        <f aca="false">IF(AND($C512="Treatment",$K512=1),$L512,"")</f>
        <v/>
      </c>
    </row>
    <row r="513" customFormat="false" ht="15" hidden="false" customHeight="false" outlineLevel="0" collapsed="false">
      <c r="A513" s="0" t="s">
        <v>543</v>
      </c>
      <c r="B513" s="2" t="n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0</v>
      </c>
      <c r="P513" s="0" t="n">
        <v>57.2</v>
      </c>
      <c r="Q513" s="3" t="n">
        <f aca="false">IF($C513="Control",$P513,"")</f>
        <v>57.2</v>
      </c>
      <c r="R513" s="0" t="str">
        <f aca="false">IF($C513="Treatment",$P513,"")</f>
        <v/>
      </c>
      <c r="S513" s="0" t="str">
        <f aca="false">IF(AND($C513="Control",$K513=1),$L513,"")</f>
        <v/>
      </c>
      <c r="T513" s="0" t="str">
        <f aca="false">IF(AND($C513="Treatment",$K513=1),$L513,"")</f>
        <v/>
      </c>
    </row>
    <row r="514" customFormat="false" ht="15" hidden="false" customHeight="false" outlineLevel="0" collapsed="false">
      <c r="A514" s="0" t="s">
        <v>544</v>
      </c>
      <c r="B514" s="2" t="n">
        <v>45701</v>
      </c>
      <c r="C514" s="3" t="s">
        <v>17</v>
      </c>
      <c r="D514" s="3" t="s">
        <v>32</v>
      </c>
      <c r="E514" s="3" t="s">
        <v>24</v>
      </c>
      <c r="F514" s="3" t="s">
        <v>1470</v>
      </c>
      <c r="G514" s="3" t="s">
        <v>26</v>
      </c>
      <c r="H514" s="0" t="n">
        <v>1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P514" s="0" t="n">
        <v>31.4</v>
      </c>
      <c r="Q514" s="3" t="n">
        <f aca="false">IF($C514="Control",$P514,"")</f>
        <v>31.4</v>
      </c>
      <c r="R514" s="0" t="str">
        <f aca="false">IF($C514="Treatment",$P514,"")</f>
        <v/>
      </c>
      <c r="S514" s="0" t="str">
        <f aca="false">IF(AND($C514="Control",$K514=1),$L514,"")</f>
        <v/>
      </c>
      <c r="T514" s="0" t="str">
        <f aca="false">IF(AND($C514="Treatment",$K514=1),$L514,"")</f>
        <v/>
      </c>
    </row>
    <row r="515" customFormat="false" ht="15" hidden="false" customHeight="false" outlineLevel="0" collapsed="false">
      <c r="A515" s="0" t="s">
        <v>545</v>
      </c>
      <c r="B515" s="2" t="n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P515" s="0" t="n">
        <v>71.2</v>
      </c>
      <c r="Q515" s="3" t="n">
        <f aca="false">IF($C515="Control",$P515,"")</f>
        <v>71.2</v>
      </c>
      <c r="R515" s="0" t="str">
        <f aca="false">IF($C515="Treatment",$P515,"")</f>
        <v/>
      </c>
      <c r="S515" s="0" t="str">
        <f aca="false">IF(AND($C515="Control",$K515=1),$L515,"")</f>
        <v/>
      </c>
      <c r="T515" s="0" t="str">
        <f aca="false">IF(AND($C515="Treatment",$K515=1),$L515,"")</f>
        <v/>
      </c>
    </row>
    <row r="516" customFormat="false" ht="15" hidden="false" customHeight="false" outlineLevel="0" collapsed="false">
      <c r="A516" s="0" t="s">
        <v>546</v>
      </c>
      <c r="B516" s="2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0" t="n">
        <v>1</v>
      </c>
      <c r="I516" s="0" t="n">
        <v>1</v>
      </c>
      <c r="J516" s="0" t="n">
        <v>1</v>
      </c>
      <c r="K516" s="0" t="n">
        <v>0</v>
      </c>
      <c r="L516" s="0" t="n">
        <v>0</v>
      </c>
      <c r="M516" s="0" t="n">
        <v>1</v>
      </c>
      <c r="N516" s="0" t="n">
        <v>0</v>
      </c>
      <c r="P516" s="0" t="n">
        <v>38.3</v>
      </c>
      <c r="Q516" s="3" t="n">
        <f aca="false">IF($C516="Control",$P516,"")</f>
        <v>38.3</v>
      </c>
      <c r="R516" s="0" t="str">
        <f aca="false">IF($C516="Treatment",$P516,"")</f>
        <v/>
      </c>
      <c r="S516" s="0" t="str">
        <f aca="false">IF(AND($C516="Control",$K516=1),$L516,"")</f>
        <v/>
      </c>
      <c r="T516" s="0" t="str">
        <f aca="false">IF(AND($C516="Treatment",$K516=1),$L516,"")</f>
        <v/>
      </c>
    </row>
    <row r="517" customFormat="false" ht="15" hidden="false" customHeight="false" outlineLevel="0" collapsed="false">
      <c r="A517" s="0" t="s">
        <v>547</v>
      </c>
      <c r="B517" s="2" t="n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0" t="n">
        <v>1</v>
      </c>
      <c r="I517" s="0" t="n">
        <v>1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P517" s="0" t="n">
        <v>63.1</v>
      </c>
      <c r="Q517" s="3" t="n">
        <f aca="false">IF($C517="Control",$P517,"")</f>
        <v>63.1</v>
      </c>
      <c r="R517" s="0" t="str">
        <f aca="false">IF($C517="Treatment",$P517,"")</f>
        <v/>
      </c>
      <c r="S517" s="0" t="str">
        <f aca="false">IF(AND($C517="Control",$K517=1),$L517,"")</f>
        <v/>
      </c>
      <c r="T517" s="0" t="str">
        <f aca="false">IF(AND($C517="Treatment",$K517=1),$L517,"")</f>
        <v/>
      </c>
    </row>
    <row r="518" customFormat="false" ht="15" hidden="false" customHeight="false" outlineLevel="0" collapsed="false">
      <c r="A518" s="0" t="s">
        <v>548</v>
      </c>
      <c r="B518" s="2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0" t="n">
        <v>1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P518" s="0" t="n">
        <v>59.7</v>
      </c>
      <c r="Q518" s="3" t="n">
        <f aca="false">IF($C518="Control",$P518,"")</f>
        <v>59.7</v>
      </c>
      <c r="R518" s="0" t="str">
        <f aca="false">IF($C518="Treatment",$P518,"")</f>
        <v/>
      </c>
      <c r="S518" s="0" t="str">
        <f aca="false">IF(AND($C518="Control",$K518=1),$L518,"")</f>
        <v/>
      </c>
      <c r="T518" s="0" t="str">
        <f aca="false">IF(AND($C518="Treatment",$K518=1),$L518,"")</f>
        <v/>
      </c>
    </row>
    <row r="519" customFormat="false" ht="15" hidden="false" customHeight="false" outlineLevel="0" collapsed="false">
      <c r="A519" s="0" t="s">
        <v>549</v>
      </c>
      <c r="B519" s="2" t="n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0" t="n">
        <v>1</v>
      </c>
      <c r="I519" s="0" t="n">
        <v>1</v>
      </c>
      <c r="J519" s="0" t="n">
        <v>1</v>
      </c>
      <c r="K519" s="0" t="n">
        <v>0</v>
      </c>
      <c r="L519" s="0" t="n">
        <v>0</v>
      </c>
      <c r="M519" s="0" t="n">
        <v>0</v>
      </c>
      <c r="N519" s="0" t="n">
        <v>0</v>
      </c>
      <c r="P519" s="0" t="n">
        <v>59.5</v>
      </c>
      <c r="Q519" s="3" t="n">
        <f aca="false">IF($C519="Control",$P519,"")</f>
        <v>59.5</v>
      </c>
      <c r="R519" s="0" t="str">
        <f aca="false">IF($C519="Treatment",$P519,"")</f>
        <v/>
      </c>
      <c r="S519" s="0" t="str">
        <f aca="false">IF(AND($C519="Control",$K519=1),$L519,"")</f>
        <v/>
      </c>
      <c r="T519" s="0" t="str">
        <f aca="false">IF(AND($C519="Treatment",$K519=1),$L519,"")</f>
        <v/>
      </c>
    </row>
    <row r="520" customFormat="false" ht="15" hidden="false" customHeight="false" outlineLevel="0" collapsed="false">
      <c r="A520" s="0" t="s">
        <v>550</v>
      </c>
      <c r="B520" s="2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P520" s="0" t="n">
        <v>78.8</v>
      </c>
      <c r="Q520" s="3" t="n">
        <f aca="false">IF($C520="Control",$P520,"")</f>
        <v>78.8</v>
      </c>
      <c r="R520" s="0" t="str">
        <f aca="false">IF($C520="Treatment",$P520,"")</f>
        <v/>
      </c>
      <c r="S520" s="0" t="str">
        <f aca="false">IF(AND($C520="Control",$K520=1),$L520,"")</f>
        <v/>
      </c>
      <c r="T520" s="0" t="str">
        <f aca="false">IF(AND($C520="Treatment",$K520=1),$L520,"")</f>
        <v/>
      </c>
    </row>
    <row r="521" customFormat="false" ht="15" hidden="false" customHeight="false" outlineLevel="0" collapsed="false">
      <c r="A521" s="0" t="s">
        <v>551</v>
      </c>
      <c r="B521" s="2" t="n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P521" s="0" t="n">
        <v>54</v>
      </c>
      <c r="Q521" s="3" t="n">
        <f aca="false">IF($C521="Control",$P521,"")</f>
        <v>54</v>
      </c>
      <c r="R521" s="0" t="str">
        <f aca="false">IF($C521="Treatment",$P521,"")</f>
        <v/>
      </c>
      <c r="S521" s="0" t="str">
        <f aca="false">IF(AND($C521="Control",$K521=1),$L521,"")</f>
        <v/>
      </c>
      <c r="T521" s="0" t="str">
        <f aca="false">IF(AND($C521="Treatment",$K521=1),$L521,"")</f>
        <v/>
      </c>
    </row>
    <row r="522" customFormat="false" ht="15" hidden="false" customHeight="false" outlineLevel="0" collapsed="false">
      <c r="A522" s="0" t="s">
        <v>552</v>
      </c>
      <c r="B522" s="2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0" t="n">
        <v>1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P522" s="0" t="n">
        <v>66.3</v>
      </c>
      <c r="Q522" s="3" t="n">
        <f aca="false">IF($C522="Control",$P522,"")</f>
        <v>66.3</v>
      </c>
      <c r="R522" s="0" t="str">
        <f aca="false">IF($C522="Treatment",$P522,"")</f>
        <v/>
      </c>
      <c r="S522" s="0" t="str">
        <f aca="false">IF(AND($C522="Control",$K522=1),$L522,"")</f>
        <v/>
      </c>
      <c r="T522" s="0" t="str">
        <f aca="false">IF(AND($C522="Treatment",$K522=1),$L522,"")</f>
        <v/>
      </c>
    </row>
    <row r="523" customFormat="false" ht="15" hidden="false" customHeight="false" outlineLevel="0" collapsed="false">
      <c r="A523" s="0" t="s">
        <v>553</v>
      </c>
      <c r="B523" s="2" t="n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0" t="n">
        <v>1</v>
      </c>
      <c r="I523" s="0" t="n">
        <v>1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P523" s="0" t="n">
        <v>54.7</v>
      </c>
      <c r="Q523" s="3" t="n">
        <f aca="false">IF($C523="Control",$P523,"")</f>
        <v>54.7</v>
      </c>
      <c r="R523" s="0" t="str">
        <f aca="false">IF($C523="Treatment",$P523,"")</f>
        <v/>
      </c>
      <c r="S523" s="0" t="str">
        <f aca="false">IF(AND($C523="Control",$K523=1),$L523,"")</f>
        <v/>
      </c>
      <c r="T523" s="0" t="str">
        <f aca="false">IF(AND($C523="Treatment",$K523=1),$L523,"")</f>
        <v/>
      </c>
    </row>
    <row r="524" customFormat="false" ht="15" hidden="false" customHeight="false" outlineLevel="0" collapsed="false">
      <c r="A524" s="0" t="s">
        <v>554</v>
      </c>
      <c r="B524" s="2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0" t="n">
        <v>1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P524" s="0" t="n">
        <v>76.7</v>
      </c>
      <c r="Q524" s="3" t="n">
        <f aca="false">IF($C524="Control",$P524,"")</f>
        <v>76.7</v>
      </c>
      <c r="R524" s="0" t="str">
        <f aca="false">IF($C524="Treatment",$P524,"")</f>
        <v/>
      </c>
      <c r="S524" s="0" t="str">
        <f aca="false">IF(AND($C524="Control",$K524=1),$L524,"")</f>
        <v/>
      </c>
      <c r="T524" s="0" t="str">
        <f aca="false">IF(AND($C524="Treatment",$K524=1),$L524,"")</f>
        <v/>
      </c>
    </row>
    <row r="525" customFormat="false" ht="15" hidden="false" customHeight="false" outlineLevel="0" collapsed="false">
      <c r="A525" s="0" t="s">
        <v>555</v>
      </c>
      <c r="B525" s="2" t="n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0" t="n">
        <v>1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2</v>
      </c>
      <c r="N525" s="0" t="n">
        <v>0</v>
      </c>
      <c r="P525" s="0" t="n">
        <v>47.4</v>
      </c>
      <c r="Q525" s="3" t="n">
        <f aca="false">IF($C525="Control",$P525,"")</f>
        <v>47.4</v>
      </c>
      <c r="R525" s="0" t="str">
        <f aca="false">IF($C525="Treatment",$P525,"")</f>
        <v/>
      </c>
      <c r="S525" s="0" t="str">
        <f aca="false">IF(AND($C525="Control",$K525=1),$L525,"")</f>
        <v/>
      </c>
      <c r="T525" s="0" t="str">
        <f aca="false">IF(AND($C525="Treatment",$K525=1),$L525,"")</f>
        <v/>
      </c>
    </row>
    <row r="526" customFormat="false" ht="15" hidden="false" customHeight="false" outlineLevel="0" collapsed="false">
      <c r="A526" s="0" t="s">
        <v>556</v>
      </c>
      <c r="B526" s="2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0" t="n">
        <v>1</v>
      </c>
      <c r="I526" s="0" t="n">
        <v>1</v>
      </c>
      <c r="J526" s="0" t="n">
        <v>1</v>
      </c>
      <c r="K526" s="0" t="n">
        <v>0</v>
      </c>
      <c r="L526" s="0" t="n">
        <v>0</v>
      </c>
      <c r="M526" s="0" t="n">
        <v>0</v>
      </c>
      <c r="N526" s="0" t="n">
        <v>0</v>
      </c>
      <c r="P526" s="0" t="n">
        <v>81.7</v>
      </c>
      <c r="Q526" s="3" t="n">
        <f aca="false">IF($C526="Control",$P526,"")</f>
        <v>81.7</v>
      </c>
      <c r="R526" s="0" t="str">
        <f aca="false">IF($C526="Treatment",$P526,"")</f>
        <v/>
      </c>
      <c r="S526" s="0" t="str">
        <f aca="false">IF(AND($C526="Control",$K526=1),$L526,"")</f>
        <v/>
      </c>
      <c r="T526" s="0" t="str">
        <f aca="false">IF(AND($C526="Treatment",$K526=1),$L526,"")</f>
        <v/>
      </c>
    </row>
    <row r="527" customFormat="false" ht="15" hidden="false" customHeight="false" outlineLevel="0" collapsed="false">
      <c r="A527" s="0" t="s">
        <v>557</v>
      </c>
      <c r="B527" s="2" t="n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0" t="n">
        <v>1</v>
      </c>
      <c r="I527" s="0" t="n">
        <v>1</v>
      </c>
      <c r="J527" s="0" t="n">
        <v>1</v>
      </c>
      <c r="K527" s="0" t="n">
        <v>0</v>
      </c>
      <c r="L527" s="0" t="n">
        <v>0</v>
      </c>
      <c r="M527" s="0" t="n">
        <v>0</v>
      </c>
      <c r="N527" s="0" t="n">
        <v>0</v>
      </c>
      <c r="P527" s="0" t="n">
        <v>67.5</v>
      </c>
      <c r="Q527" s="3" t="n">
        <f aca="false">IF($C527="Control",$P527,"")</f>
        <v>67.5</v>
      </c>
      <c r="R527" s="0" t="str">
        <f aca="false">IF($C527="Treatment",$P527,"")</f>
        <v/>
      </c>
      <c r="S527" s="0" t="str">
        <f aca="false">IF(AND($C527="Control",$K527=1),$L527,"")</f>
        <v/>
      </c>
      <c r="T527" s="0" t="str">
        <f aca="false">IF(AND($C527="Treatment",$K527=1),$L527,"")</f>
        <v/>
      </c>
    </row>
    <row r="528" customFormat="false" ht="15" hidden="false" customHeight="false" outlineLevel="0" collapsed="false">
      <c r="A528" s="0" t="s">
        <v>558</v>
      </c>
      <c r="B528" s="2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0" t="n">
        <v>1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P528" s="0" t="n">
        <v>36.8</v>
      </c>
      <c r="Q528" s="3" t="n">
        <f aca="false">IF($C528="Control",$P528,"")</f>
        <v>36.8</v>
      </c>
      <c r="R528" s="0" t="str">
        <f aca="false">IF($C528="Treatment",$P528,"")</f>
        <v/>
      </c>
      <c r="S528" s="0" t="str">
        <f aca="false">IF(AND($C528="Control",$K528=1),$L528,"")</f>
        <v/>
      </c>
      <c r="T528" s="0" t="str">
        <f aca="false">IF(AND($C528="Treatment",$K528=1),$L528,"")</f>
        <v/>
      </c>
    </row>
    <row r="529" customFormat="false" ht="15" hidden="false" customHeight="false" outlineLevel="0" collapsed="false">
      <c r="A529" s="0" t="s">
        <v>559</v>
      </c>
      <c r="B529" s="2" t="n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P529" s="0" t="n">
        <v>66.5</v>
      </c>
      <c r="Q529" s="3" t="n">
        <f aca="false">IF($C529="Control",$P529,"")</f>
        <v>66.5</v>
      </c>
      <c r="R529" s="0" t="str">
        <f aca="false">IF($C529="Treatment",$P529,"")</f>
        <v/>
      </c>
      <c r="S529" s="0" t="str">
        <f aca="false">IF(AND($C529="Control",$K529=1),$L529,"")</f>
        <v/>
      </c>
      <c r="T529" s="0" t="str">
        <f aca="false">IF(AND($C529="Treatment",$K529=1),$L529,"")</f>
        <v/>
      </c>
    </row>
    <row r="530" customFormat="false" ht="15" hidden="false" customHeight="false" outlineLevel="0" collapsed="false">
      <c r="A530" s="0" t="s">
        <v>560</v>
      </c>
      <c r="B530" s="2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0" t="n">
        <v>1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P530" s="0" t="n">
        <v>35.4</v>
      </c>
      <c r="Q530" s="3" t="n">
        <f aca="false">IF($C530="Control",$P530,"")</f>
        <v>35.4</v>
      </c>
      <c r="R530" s="0" t="str">
        <f aca="false">IF($C530="Treatment",$P530,"")</f>
        <v/>
      </c>
      <c r="S530" s="0" t="str">
        <f aca="false">IF(AND($C530="Control",$K530=1),$L530,"")</f>
        <v/>
      </c>
      <c r="T530" s="0" t="str">
        <f aca="false">IF(AND($C530="Treatment",$K530=1),$L530,"")</f>
        <v/>
      </c>
    </row>
    <row r="531" customFormat="false" ht="15" hidden="false" customHeight="false" outlineLevel="0" collapsed="false">
      <c r="A531" s="0" t="s">
        <v>561</v>
      </c>
      <c r="B531" s="2" t="n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P531" s="0" t="n">
        <v>64.3</v>
      </c>
      <c r="Q531" s="3" t="n">
        <f aca="false">IF($C531="Control",$P531,"")</f>
        <v>64.3</v>
      </c>
      <c r="R531" s="0" t="str">
        <f aca="false">IF($C531="Treatment",$P531,"")</f>
        <v/>
      </c>
      <c r="S531" s="0" t="str">
        <f aca="false">IF(AND($C531="Control",$K531=1),$L531,"")</f>
        <v/>
      </c>
      <c r="T531" s="0" t="str">
        <f aca="false">IF(AND($C531="Treatment",$K531=1),$L531,"")</f>
        <v/>
      </c>
    </row>
    <row r="532" customFormat="false" ht="15" hidden="false" customHeight="false" outlineLevel="0" collapsed="false">
      <c r="A532" s="0" t="s">
        <v>562</v>
      </c>
      <c r="B532" s="2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P532" s="0" t="n">
        <v>49.1</v>
      </c>
      <c r="Q532" s="3" t="n">
        <f aca="false">IF($C532="Control",$P532,"")</f>
        <v>49.1</v>
      </c>
      <c r="R532" s="0" t="str">
        <f aca="false">IF($C532="Treatment",$P532,"")</f>
        <v/>
      </c>
      <c r="S532" s="0" t="str">
        <f aca="false">IF(AND($C532="Control",$K532=1),$L532,"")</f>
        <v/>
      </c>
      <c r="T532" s="0" t="str">
        <f aca="false">IF(AND($C532="Treatment",$K532=1),$L532,"")</f>
        <v/>
      </c>
    </row>
    <row r="533" customFormat="false" ht="15" hidden="false" customHeight="false" outlineLevel="0" collapsed="false">
      <c r="A533" s="0" t="s">
        <v>563</v>
      </c>
      <c r="B533" s="2" t="n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P533" s="0" t="n">
        <v>84.3</v>
      </c>
      <c r="Q533" s="3" t="n">
        <f aca="false">IF($C533="Control",$P533,"")</f>
        <v>84.3</v>
      </c>
      <c r="R533" s="0" t="str">
        <f aca="false">IF($C533="Treatment",$P533,"")</f>
        <v/>
      </c>
      <c r="S533" s="0" t="str">
        <f aca="false">IF(AND($C533="Control",$K533=1),$L533,"")</f>
        <v/>
      </c>
      <c r="T533" s="0" t="str">
        <f aca="false">IF(AND($C533="Treatment",$K533=1),$L533,"")</f>
        <v/>
      </c>
    </row>
    <row r="534" customFormat="false" ht="15" hidden="false" customHeight="false" outlineLevel="0" collapsed="false">
      <c r="A534" s="0" t="s">
        <v>564</v>
      </c>
      <c r="B534" s="2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0" t="n">
        <v>1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P534" s="0" t="n">
        <v>65.6</v>
      </c>
      <c r="Q534" s="3" t="n">
        <f aca="false">IF($C534="Control",$P534,"")</f>
        <v>65.6</v>
      </c>
      <c r="R534" s="0" t="str">
        <f aca="false">IF($C534="Treatment",$P534,"")</f>
        <v/>
      </c>
      <c r="S534" s="0" t="str">
        <f aca="false">IF(AND($C534="Control",$K534=1),$L534,"")</f>
        <v/>
      </c>
      <c r="T534" s="0" t="str">
        <f aca="false">IF(AND($C534="Treatment",$K534=1),$L534,"")</f>
        <v/>
      </c>
    </row>
    <row r="535" customFormat="false" ht="15" hidden="false" customHeight="false" outlineLevel="0" collapsed="false">
      <c r="A535" s="0" t="s">
        <v>565</v>
      </c>
      <c r="B535" s="2" t="n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0" t="n">
        <v>1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P535" s="0" t="n">
        <v>47.1</v>
      </c>
      <c r="Q535" s="3" t="n">
        <f aca="false">IF($C535="Control",$P535,"")</f>
        <v>47.1</v>
      </c>
      <c r="R535" s="0" t="str">
        <f aca="false">IF($C535="Treatment",$P535,"")</f>
        <v/>
      </c>
      <c r="S535" s="0" t="str">
        <f aca="false">IF(AND($C535="Control",$K535=1),$L535,"")</f>
        <v/>
      </c>
      <c r="T535" s="0" t="str">
        <f aca="false">IF(AND($C535="Treatment",$K535=1),$L535,"")</f>
        <v/>
      </c>
    </row>
    <row r="536" customFormat="false" ht="15" hidden="false" customHeight="false" outlineLevel="0" collapsed="false">
      <c r="A536" s="0" t="s">
        <v>566</v>
      </c>
      <c r="B536" s="2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0" t="n">
        <v>1</v>
      </c>
      <c r="I536" s="0" t="n">
        <v>1</v>
      </c>
      <c r="J536" s="0" t="n">
        <v>1</v>
      </c>
      <c r="K536" s="0" t="n">
        <v>0</v>
      </c>
      <c r="L536" s="0" t="n">
        <v>0</v>
      </c>
      <c r="M536" s="0" t="n">
        <v>0</v>
      </c>
      <c r="N536" s="0" t="n">
        <v>0</v>
      </c>
      <c r="P536" s="0" t="n">
        <v>70</v>
      </c>
      <c r="Q536" s="3" t="n">
        <f aca="false">IF($C536="Control",$P536,"")</f>
        <v>70</v>
      </c>
      <c r="R536" s="0" t="str">
        <f aca="false">IF($C536="Treatment",$P536,"")</f>
        <v/>
      </c>
      <c r="S536" s="0" t="str">
        <f aca="false">IF(AND($C536="Control",$K536=1),$L536,"")</f>
        <v/>
      </c>
      <c r="T536" s="0" t="str">
        <f aca="false">IF(AND($C536="Treatment",$K536=1),$L536,"")</f>
        <v/>
      </c>
    </row>
    <row r="537" customFormat="false" ht="15" hidden="false" customHeight="false" outlineLevel="0" collapsed="false">
      <c r="A537" s="0" t="s">
        <v>567</v>
      </c>
      <c r="B537" s="2" t="n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0" t="n">
        <v>1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P537" s="0" t="n">
        <v>54.6</v>
      </c>
      <c r="Q537" s="3" t="n">
        <f aca="false">IF($C537="Control",$P537,"")</f>
        <v>54.6</v>
      </c>
      <c r="R537" s="0" t="str">
        <f aca="false">IF($C537="Treatment",$P537,"")</f>
        <v/>
      </c>
      <c r="S537" s="0" t="str">
        <f aca="false">IF(AND($C537="Control",$K537=1),$L537,"")</f>
        <v/>
      </c>
      <c r="T537" s="0" t="str">
        <f aca="false">IF(AND($C537="Treatment",$K537=1),$L537,"")</f>
        <v/>
      </c>
    </row>
    <row r="538" customFormat="false" ht="15" hidden="false" customHeight="false" outlineLevel="0" collapsed="false">
      <c r="A538" s="0" t="s">
        <v>568</v>
      </c>
      <c r="B538" s="2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0" t="n">
        <v>1</v>
      </c>
      <c r="I538" s="0" t="n">
        <v>1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0</v>
      </c>
      <c r="P538" s="0" t="n">
        <v>65.2</v>
      </c>
      <c r="Q538" s="3" t="n">
        <f aca="false">IF($C538="Control",$P538,"")</f>
        <v>65.2</v>
      </c>
      <c r="R538" s="0" t="str">
        <f aca="false">IF($C538="Treatment",$P538,"")</f>
        <v/>
      </c>
      <c r="S538" s="0" t="str">
        <f aca="false">IF(AND($C538="Control",$K538=1),$L538,"")</f>
        <v/>
      </c>
      <c r="T538" s="0" t="str">
        <f aca="false">IF(AND($C538="Treatment",$K538=1),$L538,"")</f>
        <v/>
      </c>
    </row>
    <row r="539" customFormat="false" ht="15" hidden="false" customHeight="false" outlineLevel="0" collapsed="false">
      <c r="A539" s="0" t="s">
        <v>569</v>
      </c>
      <c r="B539" s="2" t="n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0" t="n">
        <v>1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P539" s="0" t="n">
        <v>65</v>
      </c>
      <c r="Q539" s="3" t="n">
        <f aca="false">IF($C539="Control",$P539,"")</f>
        <v>65</v>
      </c>
      <c r="R539" s="0" t="str">
        <f aca="false">IF($C539="Treatment",$P539,"")</f>
        <v/>
      </c>
      <c r="S539" s="0" t="str">
        <f aca="false">IF(AND($C539="Control",$K539=1),$L539,"")</f>
        <v/>
      </c>
      <c r="T539" s="0" t="str">
        <f aca="false">IF(AND($C539="Treatment",$K539=1),$L539,"")</f>
        <v/>
      </c>
    </row>
    <row r="540" customFormat="false" ht="15" hidden="false" customHeight="false" outlineLevel="0" collapsed="false">
      <c r="A540" s="0" t="s">
        <v>570</v>
      </c>
      <c r="B540" s="2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0" t="n">
        <v>1</v>
      </c>
      <c r="I540" s="0" t="n">
        <v>1</v>
      </c>
      <c r="J540" s="0" t="n">
        <v>1</v>
      </c>
      <c r="K540" s="0" t="n">
        <v>0</v>
      </c>
      <c r="L540" s="0" t="n">
        <v>0</v>
      </c>
      <c r="M540" s="0" t="n">
        <v>1</v>
      </c>
      <c r="N540" s="0" t="n">
        <v>0</v>
      </c>
      <c r="P540" s="0" t="n">
        <v>42.1</v>
      </c>
      <c r="Q540" s="3" t="n">
        <f aca="false">IF($C540="Control",$P540,"")</f>
        <v>42.1</v>
      </c>
      <c r="R540" s="0" t="str">
        <f aca="false">IF($C540="Treatment",$P540,"")</f>
        <v/>
      </c>
      <c r="S540" s="0" t="str">
        <f aca="false">IF(AND($C540="Control",$K540=1),$L540,"")</f>
        <v/>
      </c>
      <c r="T540" s="0" t="str">
        <f aca="false">IF(AND($C540="Treatment",$K540=1),$L540,"")</f>
        <v/>
      </c>
    </row>
    <row r="541" customFormat="false" ht="15" hidden="false" customHeight="false" outlineLevel="0" collapsed="false">
      <c r="A541" s="0" t="s">
        <v>571</v>
      </c>
      <c r="B541" s="2" t="n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0" t="n">
        <v>1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P541" s="0" t="n">
        <v>43.4</v>
      </c>
      <c r="Q541" s="3" t="n">
        <f aca="false">IF($C541="Control",$P541,"")</f>
        <v>43.4</v>
      </c>
      <c r="R541" s="0" t="str">
        <f aca="false">IF($C541="Treatment",$P541,"")</f>
        <v/>
      </c>
      <c r="S541" s="0" t="str">
        <f aca="false">IF(AND($C541="Control",$K541=1),$L541,"")</f>
        <v/>
      </c>
      <c r="T541" s="0" t="str">
        <f aca="false">IF(AND($C541="Treatment",$K541=1),$L541,"")</f>
        <v/>
      </c>
    </row>
    <row r="542" customFormat="false" ht="15" hidden="false" customHeight="false" outlineLevel="0" collapsed="false">
      <c r="A542" s="0" t="s">
        <v>572</v>
      </c>
      <c r="B542" s="2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0" t="n">
        <v>1</v>
      </c>
      <c r="I542" s="0" t="n">
        <v>1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P542" s="0" t="n">
        <v>39.9</v>
      </c>
      <c r="Q542" s="3" t="n">
        <f aca="false">IF($C542="Control",$P542,"")</f>
        <v>39.9</v>
      </c>
      <c r="R542" s="0" t="str">
        <f aca="false">IF($C542="Treatment",$P542,"")</f>
        <v/>
      </c>
      <c r="S542" s="0" t="str">
        <f aca="false">IF(AND($C542="Control",$K542=1),$L542,"")</f>
        <v/>
      </c>
      <c r="T542" s="0" t="str">
        <f aca="false">IF(AND($C542="Treatment",$K542=1),$L542,"")</f>
        <v/>
      </c>
    </row>
    <row r="543" customFormat="false" ht="15" hidden="false" customHeight="false" outlineLevel="0" collapsed="false">
      <c r="A543" s="0" t="s">
        <v>573</v>
      </c>
      <c r="B543" s="2" t="n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P543" s="0" t="n">
        <v>74.1</v>
      </c>
      <c r="Q543" s="3" t="n">
        <f aca="false">IF($C543="Control",$P543,"")</f>
        <v>74.1</v>
      </c>
      <c r="R543" s="0" t="str">
        <f aca="false">IF($C543="Treatment",$P543,"")</f>
        <v/>
      </c>
      <c r="S543" s="0" t="str">
        <f aca="false">IF(AND($C543="Control",$K543=1),$L543,"")</f>
        <v/>
      </c>
      <c r="T543" s="0" t="str">
        <f aca="false">IF(AND($C543="Treatment",$K543=1),$L543,"")</f>
        <v/>
      </c>
    </row>
    <row r="544" customFormat="false" ht="15" hidden="false" customHeight="false" outlineLevel="0" collapsed="false">
      <c r="A544" s="0" t="s">
        <v>574</v>
      </c>
      <c r="B544" s="2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0" t="n">
        <v>1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P544" s="0" t="n">
        <v>61.4</v>
      </c>
      <c r="Q544" s="3" t="n">
        <f aca="false">IF($C544="Control",$P544,"")</f>
        <v>61.4</v>
      </c>
      <c r="R544" s="0" t="str">
        <f aca="false">IF($C544="Treatment",$P544,"")</f>
        <v/>
      </c>
      <c r="S544" s="0" t="str">
        <f aca="false">IF(AND($C544="Control",$K544=1),$L544,"")</f>
        <v/>
      </c>
      <c r="T544" s="0" t="str">
        <f aca="false">IF(AND($C544="Treatment",$K544=1),$L544,"")</f>
        <v/>
      </c>
    </row>
    <row r="545" customFormat="false" ht="15" hidden="false" customHeight="false" outlineLevel="0" collapsed="false">
      <c r="A545" s="0" t="s">
        <v>575</v>
      </c>
      <c r="B545" s="2" t="n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0" t="n">
        <v>1</v>
      </c>
      <c r="I545" s="0" t="n">
        <v>1</v>
      </c>
      <c r="J545" s="0" t="n">
        <v>1</v>
      </c>
      <c r="K545" s="0" t="n">
        <v>0</v>
      </c>
      <c r="L545" s="0" t="n">
        <v>0</v>
      </c>
      <c r="M545" s="0" t="n">
        <v>0</v>
      </c>
      <c r="N545" s="0" t="n">
        <v>0</v>
      </c>
      <c r="P545" s="0" t="n">
        <v>76.8</v>
      </c>
      <c r="Q545" s="3" t="n">
        <f aca="false">IF($C545="Control",$P545,"")</f>
        <v>76.8</v>
      </c>
      <c r="R545" s="0" t="str">
        <f aca="false">IF($C545="Treatment",$P545,"")</f>
        <v/>
      </c>
      <c r="S545" s="0" t="str">
        <f aca="false">IF(AND($C545="Control",$K545=1),$L545,"")</f>
        <v/>
      </c>
      <c r="T545" s="0" t="str">
        <f aca="false">IF(AND($C545="Treatment",$K545=1),$L545,"")</f>
        <v/>
      </c>
    </row>
    <row r="546" customFormat="false" ht="15" hidden="false" customHeight="false" outlineLevel="0" collapsed="false">
      <c r="A546" s="0" t="s">
        <v>576</v>
      </c>
      <c r="B546" s="2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  <c r="Q546" s="3" t="n">
        <f aca="false">IF($C546="Control",$P546,"")</f>
        <v>0</v>
      </c>
      <c r="R546" s="0" t="str">
        <f aca="false">IF($C546="Treatment",$P546,"")</f>
        <v/>
      </c>
      <c r="S546" s="0" t="str">
        <f aca="false">IF(AND($C546="Control",$K546=1),$L546,"")</f>
        <v/>
      </c>
      <c r="T546" s="0" t="str">
        <f aca="false">IF(AND($C546="Treatment",$K546=1),$L546,"")</f>
        <v/>
      </c>
    </row>
    <row r="547" customFormat="false" ht="15" hidden="false" customHeight="false" outlineLevel="0" collapsed="false">
      <c r="A547" s="0" t="s">
        <v>577</v>
      </c>
      <c r="B547" s="2" t="n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0" t="n">
        <v>1</v>
      </c>
      <c r="I547" s="0" t="n">
        <v>1</v>
      </c>
      <c r="J547" s="0" t="n">
        <v>1</v>
      </c>
      <c r="K547" s="0" t="n">
        <v>0</v>
      </c>
      <c r="L547" s="0" t="n">
        <v>0</v>
      </c>
      <c r="M547" s="0" t="n">
        <v>0</v>
      </c>
      <c r="N547" s="0" t="n">
        <v>0</v>
      </c>
      <c r="P547" s="0" t="n">
        <v>45.3</v>
      </c>
      <c r="Q547" s="3" t="n">
        <f aca="false">IF($C547="Control",$P547,"")</f>
        <v>45.3</v>
      </c>
      <c r="R547" s="0" t="str">
        <f aca="false">IF($C547="Treatment",$P547,"")</f>
        <v/>
      </c>
      <c r="S547" s="0" t="str">
        <f aca="false">IF(AND($C547="Control",$K547=1),$L547,"")</f>
        <v/>
      </c>
      <c r="T547" s="0" t="str">
        <f aca="false">IF(AND($C547="Treatment",$K547=1),$L547,"")</f>
        <v/>
      </c>
    </row>
    <row r="548" customFormat="false" ht="15" hidden="false" customHeight="false" outlineLevel="0" collapsed="false">
      <c r="A548" s="0" t="s">
        <v>578</v>
      </c>
      <c r="B548" s="2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0" t="n">
        <v>1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P548" s="0" t="n">
        <v>41.4</v>
      </c>
      <c r="Q548" s="3" t="n">
        <f aca="false">IF($C548="Control",$P548,"")</f>
        <v>41.4</v>
      </c>
      <c r="R548" s="0" t="str">
        <f aca="false">IF($C548="Treatment",$P548,"")</f>
        <v/>
      </c>
      <c r="S548" s="0" t="str">
        <f aca="false">IF(AND($C548="Control",$K548=1),$L548,"")</f>
        <v/>
      </c>
      <c r="T548" s="0" t="str">
        <f aca="false">IF(AND($C548="Treatment",$K548=1),$L548,"")</f>
        <v/>
      </c>
    </row>
    <row r="549" customFormat="false" ht="15" hidden="false" customHeight="false" outlineLevel="0" collapsed="false">
      <c r="A549" s="0" t="s">
        <v>579</v>
      </c>
      <c r="B549" s="2" t="n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0" t="n">
        <v>1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P549" s="0" t="n">
        <v>37.1</v>
      </c>
      <c r="Q549" s="3" t="n">
        <f aca="false">IF($C549="Control",$P549,"")</f>
        <v>37.1</v>
      </c>
      <c r="R549" s="0" t="str">
        <f aca="false">IF($C549="Treatment",$P549,"")</f>
        <v/>
      </c>
      <c r="S549" s="0" t="str">
        <f aca="false">IF(AND($C549="Control",$K549=1),$L549,"")</f>
        <v/>
      </c>
      <c r="T549" s="0" t="str">
        <f aca="false">IF(AND($C549="Treatment",$K549=1),$L549,"")</f>
        <v/>
      </c>
    </row>
    <row r="550" customFormat="false" ht="15" hidden="false" customHeight="false" outlineLevel="0" collapsed="false">
      <c r="A550" s="0" t="s">
        <v>580</v>
      </c>
      <c r="B550" s="2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0" t="n">
        <v>1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P550" s="0" t="n">
        <v>40.7</v>
      </c>
      <c r="Q550" s="3" t="n">
        <f aca="false">IF($C550="Control",$P550,"")</f>
        <v>40.7</v>
      </c>
      <c r="R550" s="0" t="str">
        <f aca="false">IF($C550="Treatment",$P550,"")</f>
        <v/>
      </c>
      <c r="S550" s="0" t="str">
        <f aca="false">IF(AND($C550="Control",$K550=1),$L550,"")</f>
        <v/>
      </c>
      <c r="T550" s="0" t="str">
        <f aca="false">IF(AND($C550="Treatment",$K550=1),$L550,"")</f>
        <v/>
      </c>
    </row>
    <row r="551" customFormat="false" ht="15" hidden="false" customHeight="false" outlineLevel="0" collapsed="false">
      <c r="A551" s="0" t="s">
        <v>581</v>
      </c>
      <c r="B551" s="2" t="n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2</v>
      </c>
      <c r="N551" s="0" t="n">
        <v>0</v>
      </c>
      <c r="P551" s="0" t="n">
        <v>55.9</v>
      </c>
      <c r="Q551" s="3" t="n">
        <f aca="false">IF($C551="Control",$P551,"")</f>
        <v>55.9</v>
      </c>
      <c r="R551" s="0" t="str">
        <f aca="false">IF($C551="Treatment",$P551,"")</f>
        <v/>
      </c>
      <c r="S551" s="0" t="str">
        <f aca="false">IF(AND($C551="Control",$K551=1),$L551,"")</f>
        <v/>
      </c>
      <c r="T551" s="0" t="str">
        <f aca="false">IF(AND($C551="Treatment",$K551=1),$L551,"")</f>
        <v/>
      </c>
    </row>
    <row r="552" customFormat="false" ht="15" hidden="false" customHeight="false" outlineLevel="0" collapsed="false">
      <c r="A552" s="0" t="s">
        <v>582</v>
      </c>
      <c r="B552" s="2" t="n">
        <v>45699</v>
      </c>
      <c r="C552" s="3" t="s">
        <v>17</v>
      </c>
      <c r="D552" s="3" t="s">
        <v>28</v>
      </c>
      <c r="E552" s="3" t="s">
        <v>1470</v>
      </c>
      <c r="F552" s="3" t="s">
        <v>41</v>
      </c>
      <c r="G552" s="3" t="s">
        <v>26</v>
      </c>
      <c r="H552" s="0" t="n">
        <v>1</v>
      </c>
      <c r="I552" s="0" t="n">
        <v>1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P552" s="0" t="n">
        <v>55.8</v>
      </c>
      <c r="Q552" s="3" t="n">
        <f aca="false">IF($C552="Control",$P552,"")</f>
        <v>55.8</v>
      </c>
      <c r="R552" s="0" t="str">
        <f aca="false">IF($C552="Treatment",$P552,"")</f>
        <v/>
      </c>
      <c r="S552" s="0" t="str">
        <f aca="false">IF(AND($C552="Control",$K552=1),$L552,"")</f>
        <v/>
      </c>
      <c r="T552" s="0" t="str">
        <f aca="false">IF(AND($C552="Treatment",$K552=1),$L552,"")</f>
        <v/>
      </c>
    </row>
    <row r="553" customFormat="false" ht="15" hidden="false" customHeight="false" outlineLevel="0" collapsed="false">
      <c r="A553" s="0" t="s">
        <v>583</v>
      </c>
      <c r="B553" s="2" t="n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0" t="n">
        <v>1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P553" s="0" t="n">
        <v>64.3</v>
      </c>
      <c r="Q553" s="3" t="n">
        <f aca="false">IF($C553="Control",$P553,"")</f>
        <v>64.3</v>
      </c>
      <c r="R553" s="0" t="str">
        <f aca="false">IF($C553="Treatment",$P553,"")</f>
        <v/>
      </c>
      <c r="S553" s="0" t="str">
        <f aca="false">IF(AND($C553="Control",$K553=1),$L553,"")</f>
        <v/>
      </c>
      <c r="T553" s="0" t="str">
        <f aca="false">IF(AND($C553="Treatment",$K553=1),$L553,"")</f>
        <v/>
      </c>
    </row>
    <row r="554" customFormat="false" ht="15" hidden="false" customHeight="false" outlineLevel="0" collapsed="false">
      <c r="A554" s="0" t="s">
        <v>584</v>
      </c>
      <c r="B554" s="2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P554" s="0" t="n">
        <v>65.4</v>
      </c>
      <c r="Q554" s="3" t="n">
        <f aca="false">IF($C554="Control",$P554,"")</f>
        <v>65.4</v>
      </c>
      <c r="R554" s="0" t="str">
        <f aca="false">IF($C554="Treatment",$P554,"")</f>
        <v/>
      </c>
      <c r="S554" s="0" t="str">
        <f aca="false">IF(AND($C554="Control",$K554=1),$L554,"")</f>
        <v/>
      </c>
      <c r="T554" s="0" t="str">
        <f aca="false">IF(AND($C554="Treatment",$K554=1),$L554,"")</f>
        <v/>
      </c>
    </row>
    <row r="555" customFormat="false" ht="15" hidden="false" customHeight="false" outlineLevel="0" collapsed="false">
      <c r="A555" s="0" t="s">
        <v>585</v>
      </c>
      <c r="B555" s="2" t="n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0" t="n">
        <v>1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P555" s="0" t="n">
        <v>89.8</v>
      </c>
      <c r="Q555" s="3" t="n">
        <f aca="false">IF($C555="Control",$P555,"")</f>
        <v>89.8</v>
      </c>
      <c r="R555" s="0" t="str">
        <f aca="false">IF($C555="Treatment",$P555,"")</f>
        <v/>
      </c>
      <c r="S555" s="0" t="str">
        <f aca="false">IF(AND($C555="Control",$K555=1),$L555,"")</f>
        <v/>
      </c>
      <c r="T555" s="0" t="str">
        <f aca="false">IF(AND($C555="Treatment",$K555=1),$L555,"")</f>
        <v/>
      </c>
    </row>
    <row r="556" customFormat="false" ht="15" hidden="false" customHeight="false" outlineLevel="0" collapsed="false">
      <c r="A556" s="0" t="s">
        <v>586</v>
      </c>
      <c r="B556" s="2" t="n">
        <v>45699</v>
      </c>
      <c r="C556" s="3" t="s">
        <v>17</v>
      </c>
      <c r="D556" s="3" t="s">
        <v>32</v>
      </c>
      <c r="E556" s="3" t="s">
        <v>1470</v>
      </c>
      <c r="F556" s="3" t="s">
        <v>25</v>
      </c>
      <c r="G556" s="3" t="s">
        <v>26</v>
      </c>
      <c r="H556" s="0" t="n">
        <v>1</v>
      </c>
      <c r="I556" s="0" t="n">
        <v>1</v>
      </c>
      <c r="J556" s="0" t="n">
        <v>1</v>
      </c>
      <c r="K556" s="0" t="n">
        <v>0</v>
      </c>
      <c r="L556" s="0" t="n">
        <v>0</v>
      </c>
      <c r="M556" s="0" t="n">
        <v>0</v>
      </c>
      <c r="N556" s="0" t="n">
        <v>0</v>
      </c>
      <c r="P556" s="0" t="n">
        <v>58.3</v>
      </c>
      <c r="Q556" s="3" t="n">
        <f aca="false">IF($C556="Control",$P556,"")</f>
        <v>58.3</v>
      </c>
      <c r="R556" s="0" t="str">
        <f aca="false">IF($C556="Treatment",$P556,"")</f>
        <v/>
      </c>
      <c r="S556" s="0" t="str">
        <f aca="false">IF(AND($C556="Control",$K556=1),$L556,"")</f>
        <v/>
      </c>
      <c r="T556" s="0" t="str">
        <f aca="false">IF(AND($C556="Treatment",$K556=1),$L556,"")</f>
        <v/>
      </c>
    </row>
    <row r="557" customFormat="false" ht="15" hidden="false" customHeight="false" outlineLevel="0" collapsed="false">
      <c r="A557" s="0" t="s">
        <v>587</v>
      </c>
      <c r="B557" s="2" t="n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0" t="n">
        <v>1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P557" s="0" t="n">
        <v>64.4</v>
      </c>
      <c r="Q557" s="3" t="n">
        <f aca="false">IF($C557="Control",$P557,"")</f>
        <v>64.4</v>
      </c>
      <c r="R557" s="0" t="str">
        <f aca="false">IF($C557="Treatment",$P557,"")</f>
        <v/>
      </c>
      <c r="S557" s="0" t="str">
        <f aca="false">IF(AND($C557="Control",$K557=1),$L557,"")</f>
        <v/>
      </c>
      <c r="T557" s="0" t="str">
        <f aca="false">IF(AND($C557="Treatment",$K557=1),$L557,"")</f>
        <v/>
      </c>
    </row>
    <row r="558" customFormat="false" ht="15" hidden="false" customHeight="false" outlineLevel="0" collapsed="false">
      <c r="A558" s="0" t="s">
        <v>588</v>
      </c>
      <c r="B558" s="2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P558" s="0" t="n">
        <v>46.2</v>
      </c>
      <c r="Q558" s="3" t="n">
        <f aca="false">IF($C558="Control",$P558,"")</f>
        <v>46.2</v>
      </c>
      <c r="R558" s="0" t="str">
        <f aca="false">IF($C558="Treatment",$P558,"")</f>
        <v/>
      </c>
      <c r="S558" s="0" t="str">
        <f aca="false">IF(AND($C558="Control",$K558=1),$L558,"")</f>
        <v/>
      </c>
      <c r="T558" s="0" t="str">
        <f aca="false">IF(AND($C558="Treatment",$K558=1),$L558,"")</f>
        <v/>
      </c>
    </row>
    <row r="559" customFormat="false" ht="15" hidden="false" customHeight="false" outlineLevel="0" collapsed="false">
      <c r="A559" s="0" t="s">
        <v>589</v>
      </c>
      <c r="B559" s="2" t="n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P559" s="0" t="n">
        <v>78</v>
      </c>
      <c r="Q559" s="3" t="n">
        <f aca="false">IF($C559="Control",$P559,"")</f>
        <v>78</v>
      </c>
      <c r="R559" s="0" t="str">
        <f aca="false">IF($C559="Treatment",$P559,"")</f>
        <v/>
      </c>
      <c r="S559" s="0" t="str">
        <f aca="false">IF(AND($C559="Control",$K559=1),$L559,"")</f>
        <v/>
      </c>
      <c r="T559" s="0" t="str">
        <f aca="false">IF(AND($C559="Treatment",$K559=1),$L559,"")</f>
        <v/>
      </c>
    </row>
    <row r="560" customFormat="false" ht="15" hidden="false" customHeight="false" outlineLevel="0" collapsed="false">
      <c r="A560" s="0" t="s">
        <v>590</v>
      </c>
      <c r="B560" s="2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0" t="n">
        <v>1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P560" s="0" t="n">
        <v>62.3</v>
      </c>
      <c r="Q560" s="3" t="n">
        <f aca="false">IF($C560="Control",$P560,"")</f>
        <v>62.3</v>
      </c>
      <c r="R560" s="0" t="str">
        <f aca="false">IF($C560="Treatment",$P560,"")</f>
        <v/>
      </c>
      <c r="S560" s="0" t="str">
        <f aca="false">IF(AND($C560="Control",$K560=1),$L560,"")</f>
        <v/>
      </c>
      <c r="T560" s="0" t="str">
        <f aca="false">IF(AND($C560="Treatment",$K560=1),$L560,"")</f>
        <v/>
      </c>
    </row>
    <row r="561" customFormat="false" ht="15" hidden="false" customHeight="false" outlineLevel="0" collapsed="false">
      <c r="A561" s="0" t="s">
        <v>591</v>
      </c>
      <c r="B561" s="2" t="n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0" t="n">
        <v>1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P561" s="0" t="n">
        <v>78.8</v>
      </c>
      <c r="Q561" s="3" t="n">
        <f aca="false">IF($C561="Control",$P561,"")</f>
        <v>78.8</v>
      </c>
      <c r="R561" s="0" t="str">
        <f aca="false">IF($C561="Treatment",$P561,"")</f>
        <v/>
      </c>
      <c r="S561" s="0" t="str">
        <f aca="false">IF(AND($C561="Control",$K561=1),$L561,"")</f>
        <v/>
      </c>
      <c r="T561" s="0" t="str">
        <f aca="false">IF(AND($C561="Treatment",$K561=1),$L561,"")</f>
        <v/>
      </c>
    </row>
    <row r="562" customFormat="false" ht="15" hidden="false" customHeight="false" outlineLevel="0" collapsed="false">
      <c r="A562" s="0" t="s">
        <v>592</v>
      </c>
      <c r="B562" s="2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0" t="n">
        <v>1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P562" s="0" t="n">
        <v>25</v>
      </c>
      <c r="Q562" s="3" t="n">
        <f aca="false">IF($C562="Control",$P562,"")</f>
        <v>25</v>
      </c>
      <c r="R562" s="0" t="str">
        <f aca="false">IF($C562="Treatment",$P562,"")</f>
        <v/>
      </c>
      <c r="S562" s="0" t="str">
        <f aca="false">IF(AND($C562="Control",$K562=1),$L562,"")</f>
        <v/>
      </c>
      <c r="T562" s="0" t="str">
        <f aca="false">IF(AND($C562="Treatment",$K562=1),$L562,"")</f>
        <v/>
      </c>
    </row>
    <row r="563" customFormat="false" ht="15" hidden="false" customHeight="false" outlineLevel="0" collapsed="false">
      <c r="A563" s="0" t="s">
        <v>593</v>
      </c>
      <c r="B563" s="2" t="n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P563" s="0" t="n">
        <v>53.4</v>
      </c>
      <c r="Q563" s="3" t="n">
        <f aca="false">IF($C563="Control",$P563,"")</f>
        <v>53.4</v>
      </c>
      <c r="R563" s="0" t="str">
        <f aca="false">IF($C563="Treatment",$P563,"")</f>
        <v/>
      </c>
      <c r="S563" s="0" t="str">
        <f aca="false">IF(AND($C563="Control",$K563=1),$L563,"")</f>
        <v/>
      </c>
      <c r="T563" s="0" t="str">
        <f aca="false">IF(AND($C563="Treatment",$K563=1),$L563,"")</f>
        <v/>
      </c>
    </row>
    <row r="564" customFormat="false" ht="15" hidden="false" customHeight="false" outlineLevel="0" collapsed="false">
      <c r="A564" s="0" t="s">
        <v>594</v>
      </c>
      <c r="B564" s="2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P564" s="0" t="n">
        <v>40.7</v>
      </c>
      <c r="Q564" s="3" t="n">
        <f aca="false">IF($C564="Control",$P564,"")</f>
        <v>40.7</v>
      </c>
      <c r="R564" s="0" t="str">
        <f aca="false">IF($C564="Treatment",$P564,"")</f>
        <v/>
      </c>
      <c r="S564" s="0" t="str">
        <f aca="false">IF(AND($C564="Control",$K564=1),$L564,"")</f>
        <v/>
      </c>
      <c r="T564" s="0" t="str">
        <f aca="false">IF(AND($C564="Treatment",$K564=1),$L564,"")</f>
        <v/>
      </c>
    </row>
    <row r="565" customFormat="false" ht="15" hidden="false" customHeight="false" outlineLevel="0" collapsed="false">
      <c r="A565" s="0" t="s">
        <v>595</v>
      </c>
      <c r="B565" s="2" t="n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0" t="n">
        <v>1</v>
      </c>
      <c r="I565" s="0" t="n">
        <v>1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P565" s="0" t="n">
        <v>36.7</v>
      </c>
      <c r="Q565" s="3" t="n">
        <f aca="false">IF($C565="Control",$P565,"")</f>
        <v>36.7</v>
      </c>
      <c r="R565" s="0" t="str">
        <f aca="false">IF($C565="Treatment",$P565,"")</f>
        <v/>
      </c>
      <c r="S565" s="0" t="str">
        <f aca="false">IF(AND($C565="Control",$K565=1),$L565,"")</f>
        <v/>
      </c>
      <c r="T565" s="0" t="str">
        <f aca="false">IF(AND($C565="Treatment",$K565=1),$L565,"")</f>
        <v/>
      </c>
    </row>
    <row r="566" customFormat="false" ht="15" hidden="false" customHeight="false" outlineLevel="0" collapsed="false">
      <c r="A566" s="0" t="s">
        <v>596</v>
      </c>
      <c r="B566" s="2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0" t="n">
        <v>1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0</v>
      </c>
      <c r="P566" s="0" t="n">
        <v>67.5</v>
      </c>
      <c r="Q566" s="3" t="n">
        <f aca="false">IF($C566="Control",$P566,"")</f>
        <v>67.5</v>
      </c>
      <c r="R566" s="0" t="str">
        <f aca="false">IF($C566="Treatment",$P566,"")</f>
        <v/>
      </c>
      <c r="S566" s="0" t="str">
        <f aca="false">IF(AND($C566="Control",$K566=1),$L566,"")</f>
        <v/>
      </c>
      <c r="T566" s="0" t="str">
        <f aca="false">IF(AND($C566="Treatment",$K566=1),$L566,"")</f>
        <v/>
      </c>
    </row>
    <row r="567" customFormat="false" ht="15" hidden="false" customHeight="false" outlineLevel="0" collapsed="false">
      <c r="A567" s="0" t="s">
        <v>597</v>
      </c>
      <c r="B567" s="2" t="n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0" t="n">
        <v>1</v>
      </c>
      <c r="I567" s="0" t="n">
        <v>1</v>
      </c>
      <c r="J567" s="0" t="n">
        <v>1</v>
      </c>
      <c r="K567" s="0" t="n">
        <v>0</v>
      </c>
      <c r="L567" s="0" t="n">
        <v>0</v>
      </c>
      <c r="M567" s="0" t="n">
        <v>0</v>
      </c>
      <c r="N567" s="0" t="n">
        <v>0</v>
      </c>
      <c r="P567" s="0" t="n">
        <v>69.9</v>
      </c>
      <c r="Q567" s="3" t="n">
        <f aca="false">IF($C567="Control",$P567,"")</f>
        <v>69.9</v>
      </c>
      <c r="R567" s="0" t="str">
        <f aca="false">IF($C567="Treatment",$P567,"")</f>
        <v/>
      </c>
      <c r="S567" s="0" t="str">
        <f aca="false">IF(AND($C567="Control",$K567=1),$L567,"")</f>
        <v/>
      </c>
      <c r="T567" s="0" t="str">
        <f aca="false">IF(AND($C567="Treatment",$K567=1),$L567,"")</f>
        <v/>
      </c>
    </row>
    <row r="568" customFormat="false" ht="15" hidden="false" customHeight="false" outlineLevel="0" collapsed="false">
      <c r="A568" s="0" t="s">
        <v>598</v>
      </c>
      <c r="B568" s="2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0" t="n">
        <v>1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P568" s="0" t="n">
        <v>65.1</v>
      </c>
      <c r="Q568" s="3" t="n">
        <f aca="false">IF($C568="Control",$P568,"")</f>
        <v>65.1</v>
      </c>
      <c r="R568" s="0" t="str">
        <f aca="false">IF($C568="Treatment",$P568,"")</f>
        <v/>
      </c>
      <c r="S568" s="0" t="str">
        <f aca="false">IF(AND($C568="Control",$K568=1),$L568,"")</f>
        <v/>
      </c>
      <c r="T568" s="0" t="str">
        <f aca="false">IF(AND($C568="Treatment",$K568=1),$L568,"")</f>
        <v/>
      </c>
    </row>
    <row r="569" customFormat="false" ht="15" hidden="false" customHeight="false" outlineLevel="0" collapsed="false">
      <c r="A569" s="0" t="s">
        <v>599</v>
      </c>
      <c r="B569" s="2" t="n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0" t="n">
        <v>1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P569" s="0" t="n">
        <v>48.7</v>
      </c>
      <c r="Q569" s="3" t="n">
        <f aca="false">IF($C569="Control",$P569,"")</f>
        <v>48.7</v>
      </c>
      <c r="R569" s="0" t="str">
        <f aca="false">IF($C569="Treatment",$P569,"")</f>
        <v/>
      </c>
      <c r="S569" s="0" t="str">
        <f aca="false">IF(AND($C569="Control",$K569=1),$L569,"")</f>
        <v/>
      </c>
      <c r="T569" s="0" t="str">
        <f aca="false">IF(AND($C569="Treatment",$K569=1),$L569,"")</f>
        <v/>
      </c>
    </row>
    <row r="570" customFormat="false" ht="15" hidden="false" customHeight="false" outlineLevel="0" collapsed="false">
      <c r="A570" s="0" t="s">
        <v>600</v>
      </c>
      <c r="B570" s="2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0" t="n">
        <v>1</v>
      </c>
      <c r="I570" s="0" t="n">
        <v>1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P570" s="0" t="n">
        <v>47.2</v>
      </c>
      <c r="Q570" s="3" t="n">
        <f aca="false">IF($C570="Control",$P570,"")</f>
        <v>47.2</v>
      </c>
      <c r="R570" s="0" t="str">
        <f aca="false">IF($C570="Treatment",$P570,"")</f>
        <v/>
      </c>
      <c r="S570" s="0" t="str">
        <f aca="false">IF(AND($C570="Control",$K570=1),$L570,"")</f>
        <v/>
      </c>
      <c r="T570" s="0" t="str">
        <f aca="false">IF(AND($C570="Treatment",$K570=1),$L570,"")</f>
        <v/>
      </c>
    </row>
    <row r="571" customFormat="false" ht="15" hidden="false" customHeight="false" outlineLevel="0" collapsed="false">
      <c r="A571" s="0" t="s">
        <v>601</v>
      </c>
      <c r="B571" s="2" t="n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0" t="n">
        <v>1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2</v>
      </c>
      <c r="N571" s="0" t="n">
        <v>0</v>
      </c>
      <c r="P571" s="0" t="n">
        <v>20.3</v>
      </c>
      <c r="Q571" s="3" t="n">
        <f aca="false">IF($C571="Control",$P571,"")</f>
        <v>20.3</v>
      </c>
      <c r="R571" s="0" t="str">
        <f aca="false">IF($C571="Treatment",$P571,"")</f>
        <v/>
      </c>
      <c r="S571" s="0" t="str">
        <f aca="false">IF(AND($C571="Control",$K571=1),$L571,"")</f>
        <v/>
      </c>
      <c r="T571" s="0" t="str">
        <f aca="false">IF(AND($C571="Treatment",$K571=1),$L571,"")</f>
        <v/>
      </c>
    </row>
    <row r="572" customFormat="false" ht="15" hidden="false" customHeight="false" outlineLevel="0" collapsed="false">
      <c r="A572" s="0" t="s">
        <v>602</v>
      </c>
      <c r="B572" s="2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0</v>
      </c>
      <c r="P572" s="0" t="n">
        <v>57.8</v>
      </c>
      <c r="Q572" s="3" t="n">
        <f aca="false">IF($C572="Control",$P572,"")</f>
        <v>57.8</v>
      </c>
      <c r="R572" s="0" t="str">
        <f aca="false">IF($C572="Treatment",$P572,"")</f>
        <v/>
      </c>
      <c r="S572" s="0" t="str">
        <f aca="false">IF(AND($C572="Control",$K572=1),$L572,"")</f>
        <v/>
      </c>
      <c r="T572" s="0" t="str">
        <f aca="false">IF(AND($C572="Treatment",$K572=1),$L572,"")</f>
        <v/>
      </c>
    </row>
    <row r="573" customFormat="false" ht="15" hidden="false" customHeight="false" outlineLevel="0" collapsed="false">
      <c r="A573" s="0" t="s">
        <v>603</v>
      </c>
      <c r="B573" s="2" t="n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P573" s="0" t="n">
        <v>78.7</v>
      </c>
      <c r="Q573" s="3" t="n">
        <f aca="false">IF($C573="Control",$P573,"")</f>
        <v>78.7</v>
      </c>
      <c r="R573" s="0" t="str">
        <f aca="false">IF($C573="Treatment",$P573,"")</f>
        <v/>
      </c>
      <c r="S573" s="0" t="str">
        <f aca="false">IF(AND($C573="Control",$K573=1),$L573,"")</f>
        <v/>
      </c>
      <c r="T573" s="0" t="str">
        <f aca="false">IF(AND($C573="Treatment",$K573=1),$L573,"")</f>
        <v/>
      </c>
    </row>
    <row r="574" customFormat="false" ht="15" hidden="false" customHeight="false" outlineLevel="0" collapsed="false">
      <c r="A574" s="0" t="s">
        <v>604</v>
      </c>
      <c r="B574" s="2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0" t="n">
        <v>1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P574" s="0" t="n">
        <v>63.6</v>
      </c>
      <c r="Q574" s="3" t="n">
        <f aca="false">IF($C574="Control",$P574,"")</f>
        <v>63.6</v>
      </c>
      <c r="R574" s="0" t="str">
        <f aca="false">IF($C574="Treatment",$P574,"")</f>
        <v/>
      </c>
      <c r="S574" s="0" t="str">
        <f aca="false">IF(AND($C574="Control",$K574=1),$L574,"")</f>
        <v/>
      </c>
      <c r="T574" s="0" t="str">
        <f aca="false">IF(AND($C574="Treatment",$K574=1),$L574,"")</f>
        <v/>
      </c>
    </row>
    <row r="575" customFormat="false" ht="15" hidden="false" customHeight="false" outlineLevel="0" collapsed="false">
      <c r="A575" s="0" t="s">
        <v>605</v>
      </c>
      <c r="B575" s="2" t="n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2</v>
      </c>
      <c r="N575" s="0" t="n">
        <v>0</v>
      </c>
      <c r="P575" s="0" t="n">
        <v>45.1</v>
      </c>
      <c r="Q575" s="3" t="n">
        <f aca="false">IF($C575="Control",$P575,"")</f>
        <v>45.1</v>
      </c>
      <c r="R575" s="0" t="str">
        <f aca="false">IF($C575="Treatment",$P575,"")</f>
        <v/>
      </c>
      <c r="S575" s="0" t="str">
        <f aca="false">IF(AND($C575="Control",$K575=1),$L575,"")</f>
        <v/>
      </c>
      <c r="T575" s="0" t="str">
        <f aca="false">IF(AND($C575="Treatment",$K575=1),$L575,"")</f>
        <v/>
      </c>
    </row>
    <row r="576" customFormat="false" ht="15" hidden="false" customHeight="false" outlineLevel="0" collapsed="false">
      <c r="A576" s="0" t="s">
        <v>606</v>
      </c>
      <c r="B576" s="2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P576" s="0" t="n">
        <v>77.5</v>
      </c>
      <c r="Q576" s="3" t="n">
        <f aca="false">IF($C576="Control",$P576,"")</f>
        <v>77.5</v>
      </c>
      <c r="R576" s="0" t="str">
        <f aca="false">IF($C576="Treatment",$P576,"")</f>
        <v/>
      </c>
      <c r="S576" s="0" t="str">
        <f aca="false">IF(AND($C576="Control",$K576=1),$L576,"")</f>
        <v/>
      </c>
      <c r="T576" s="0" t="str">
        <f aca="false">IF(AND($C576="Treatment",$K576=1),$L576,"")</f>
        <v/>
      </c>
    </row>
    <row r="577" customFormat="false" ht="15" hidden="false" customHeight="false" outlineLevel="0" collapsed="false">
      <c r="A577" s="0" t="s">
        <v>607</v>
      </c>
      <c r="B577" s="2" t="n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0" t="n">
        <v>1</v>
      </c>
      <c r="I577" s="0" t="n">
        <v>1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P577" s="0" t="n">
        <v>58</v>
      </c>
      <c r="Q577" s="3" t="n">
        <f aca="false">IF($C577="Control",$P577,"")</f>
        <v>58</v>
      </c>
      <c r="R577" s="0" t="str">
        <f aca="false">IF($C577="Treatment",$P577,"")</f>
        <v/>
      </c>
      <c r="S577" s="0" t="str">
        <f aca="false">IF(AND($C577="Control",$K577=1),$L577,"")</f>
        <v/>
      </c>
      <c r="T577" s="0" t="str">
        <f aca="false">IF(AND($C577="Treatment",$K577=1),$L577,"")</f>
        <v/>
      </c>
    </row>
    <row r="578" customFormat="false" ht="15" hidden="false" customHeight="false" outlineLevel="0" collapsed="false">
      <c r="A578" s="0" t="s">
        <v>608</v>
      </c>
      <c r="B578" s="2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0" t="n">
        <v>1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P578" s="0" t="n">
        <v>68.1</v>
      </c>
      <c r="Q578" s="3" t="n">
        <f aca="false">IF($C578="Control",$P578,"")</f>
        <v>68.1</v>
      </c>
      <c r="R578" s="0" t="str">
        <f aca="false">IF($C578="Treatment",$P578,"")</f>
        <v/>
      </c>
      <c r="S578" s="0" t="str">
        <f aca="false">IF(AND($C578="Control",$K578=1),$L578,"")</f>
        <v/>
      </c>
      <c r="T578" s="0" t="str">
        <f aca="false">IF(AND($C578="Treatment",$K578=1),$L578,"")</f>
        <v/>
      </c>
    </row>
    <row r="579" customFormat="false" ht="15" hidden="false" customHeight="false" outlineLevel="0" collapsed="false">
      <c r="A579" s="0" t="s">
        <v>609</v>
      </c>
      <c r="B579" s="2" t="n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0" t="n">
        <v>1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P579" s="0" t="n">
        <v>35.4</v>
      </c>
      <c r="Q579" s="3" t="n">
        <f aca="false">IF($C579="Control",$P579,"")</f>
        <v>35.4</v>
      </c>
      <c r="R579" s="0" t="str">
        <f aca="false">IF($C579="Treatment",$P579,"")</f>
        <v/>
      </c>
      <c r="S579" s="0" t="str">
        <f aca="false">IF(AND($C579="Control",$K579=1),$L579,"")</f>
        <v/>
      </c>
      <c r="T579" s="0" t="str">
        <f aca="false">IF(AND($C579="Treatment",$K579=1),$L579,"")</f>
        <v/>
      </c>
    </row>
    <row r="580" customFormat="false" ht="15" hidden="false" customHeight="false" outlineLevel="0" collapsed="false">
      <c r="A580" s="0" t="s">
        <v>610</v>
      </c>
      <c r="B580" s="2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P580" s="0" t="n">
        <v>47</v>
      </c>
      <c r="Q580" s="3" t="n">
        <f aca="false">IF($C580="Control",$P580,"")</f>
        <v>47</v>
      </c>
      <c r="R580" s="0" t="str">
        <f aca="false">IF($C580="Treatment",$P580,"")</f>
        <v/>
      </c>
      <c r="S580" s="0" t="str">
        <f aca="false">IF(AND($C580="Control",$K580=1),$L580,"")</f>
        <v/>
      </c>
      <c r="T580" s="0" t="str">
        <f aca="false">IF(AND($C580="Treatment",$K580=1),$L580,"")</f>
        <v/>
      </c>
    </row>
    <row r="581" customFormat="false" ht="15" hidden="false" customHeight="false" outlineLevel="0" collapsed="false">
      <c r="A581" s="0" t="s">
        <v>611</v>
      </c>
      <c r="B581" s="2" t="n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P581" s="0" t="n">
        <v>75</v>
      </c>
      <c r="Q581" s="3" t="n">
        <f aca="false">IF($C581="Control",$P581,"")</f>
        <v>75</v>
      </c>
      <c r="R581" s="0" t="str">
        <f aca="false">IF($C581="Treatment",$P581,"")</f>
        <v/>
      </c>
      <c r="S581" s="0" t="str">
        <f aca="false">IF(AND($C581="Control",$K581=1),$L581,"")</f>
        <v/>
      </c>
      <c r="T581" s="0" t="str">
        <f aca="false">IF(AND($C581="Treatment",$K581=1),$L581,"")</f>
        <v/>
      </c>
    </row>
    <row r="582" customFormat="false" ht="15" hidden="false" customHeight="false" outlineLevel="0" collapsed="false">
      <c r="A582" s="0" t="s">
        <v>612</v>
      </c>
      <c r="B582" s="2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0" t="n">
        <v>1</v>
      </c>
      <c r="I582" s="0" t="n">
        <v>1</v>
      </c>
      <c r="J582" s="0" t="n">
        <v>1</v>
      </c>
      <c r="K582" s="0" t="n">
        <v>0</v>
      </c>
      <c r="L582" s="0" t="n">
        <v>0</v>
      </c>
      <c r="M582" s="0" t="n">
        <v>3</v>
      </c>
      <c r="N582" s="0" t="n">
        <v>0</v>
      </c>
      <c r="P582" s="0" t="n">
        <v>50.2</v>
      </c>
      <c r="Q582" s="3" t="n">
        <f aca="false">IF($C582="Control",$P582,"")</f>
        <v>50.2</v>
      </c>
      <c r="R582" s="0" t="str">
        <f aca="false">IF($C582="Treatment",$P582,"")</f>
        <v/>
      </c>
      <c r="S582" s="0" t="str">
        <f aca="false">IF(AND($C582="Control",$K582=1),$L582,"")</f>
        <v/>
      </c>
      <c r="T582" s="0" t="str">
        <f aca="false">IF(AND($C582="Treatment",$K582=1),$L582,"")</f>
        <v/>
      </c>
    </row>
    <row r="583" customFormat="false" ht="15" hidden="false" customHeight="false" outlineLevel="0" collapsed="false">
      <c r="A583" s="0" t="s">
        <v>613</v>
      </c>
      <c r="B583" s="2" t="n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0" t="n">
        <v>1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P583" s="0" t="n">
        <v>40.1</v>
      </c>
      <c r="Q583" s="3" t="n">
        <f aca="false">IF($C583="Control",$P583,"")</f>
        <v>40.1</v>
      </c>
      <c r="R583" s="0" t="str">
        <f aca="false">IF($C583="Treatment",$P583,"")</f>
        <v/>
      </c>
      <c r="S583" s="0" t="str">
        <f aca="false">IF(AND($C583="Control",$K583=1),$L583,"")</f>
        <v/>
      </c>
      <c r="T583" s="0" t="str">
        <f aca="false">IF(AND($C583="Treatment",$K583=1),$L583,"")</f>
        <v/>
      </c>
    </row>
    <row r="584" customFormat="false" ht="15" hidden="false" customHeight="false" outlineLevel="0" collapsed="false">
      <c r="A584" s="0" t="s">
        <v>614</v>
      </c>
      <c r="B584" s="2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P584" s="0" t="n">
        <v>61.1</v>
      </c>
      <c r="Q584" s="3" t="n">
        <f aca="false">IF($C584="Control",$P584,"")</f>
        <v>61.1</v>
      </c>
      <c r="R584" s="0" t="str">
        <f aca="false">IF($C584="Treatment",$P584,"")</f>
        <v/>
      </c>
      <c r="S584" s="0" t="str">
        <f aca="false">IF(AND($C584="Control",$K584=1),$L584,"")</f>
        <v/>
      </c>
      <c r="T584" s="0" t="str">
        <f aca="false">IF(AND($C584="Treatment",$K584=1),$L584,"")</f>
        <v/>
      </c>
    </row>
    <row r="585" customFormat="false" ht="15" hidden="false" customHeight="false" outlineLevel="0" collapsed="false">
      <c r="A585" s="0" t="s">
        <v>615</v>
      </c>
      <c r="B585" s="2" t="n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P585" s="0" t="n">
        <v>42.4</v>
      </c>
      <c r="Q585" s="3" t="n">
        <f aca="false">IF($C585="Control",$P585,"")</f>
        <v>42.4</v>
      </c>
      <c r="R585" s="0" t="str">
        <f aca="false">IF($C585="Treatment",$P585,"")</f>
        <v/>
      </c>
      <c r="S585" s="0" t="str">
        <f aca="false">IF(AND($C585="Control",$K585=1),$L585,"")</f>
        <v/>
      </c>
      <c r="T585" s="0" t="str">
        <f aca="false">IF(AND($C585="Treatment",$K585=1),$L585,"")</f>
        <v/>
      </c>
    </row>
    <row r="586" customFormat="false" ht="15" hidden="false" customHeight="false" outlineLevel="0" collapsed="false">
      <c r="A586" s="0" t="s">
        <v>616</v>
      </c>
      <c r="B586" s="2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0</v>
      </c>
      <c r="P586" s="0" t="n">
        <v>46.6</v>
      </c>
      <c r="Q586" s="3" t="n">
        <f aca="false">IF($C586="Control",$P586,"")</f>
        <v>46.6</v>
      </c>
      <c r="R586" s="0" t="str">
        <f aca="false">IF($C586="Treatment",$P586,"")</f>
        <v/>
      </c>
      <c r="S586" s="0" t="str">
        <f aca="false">IF(AND($C586="Control",$K586=1),$L586,"")</f>
        <v/>
      </c>
      <c r="T586" s="0" t="str">
        <f aca="false">IF(AND($C586="Treatment",$K586=1),$L586,"")</f>
        <v/>
      </c>
    </row>
    <row r="587" customFormat="false" ht="15" hidden="false" customHeight="false" outlineLevel="0" collapsed="false">
      <c r="A587" s="0" t="s">
        <v>617</v>
      </c>
      <c r="B587" s="2" t="n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0" t="n">
        <v>1</v>
      </c>
      <c r="I587" s="0" t="n">
        <v>1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P587" s="0" t="n">
        <v>72.1</v>
      </c>
      <c r="Q587" s="3" t="n">
        <f aca="false">IF($C587="Control",$P587,"")</f>
        <v>72.1</v>
      </c>
      <c r="R587" s="0" t="str">
        <f aca="false">IF($C587="Treatment",$P587,"")</f>
        <v/>
      </c>
      <c r="S587" s="0" t="str">
        <f aca="false">IF(AND($C587="Control",$K587=1),$L587,"")</f>
        <v/>
      </c>
      <c r="T587" s="0" t="str">
        <f aca="false">IF(AND($C587="Treatment",$K587=1),$L587,"")</f>
        <v/>
      </c>
    </row>
    <row r="588" customFormat="false" ht="15" hidden="false" customHeight="false" outlineLevel="0" collapsed="false">
      <c r="A588" s="0" t="s">
        <v>618</v>
      </c>
      <c r="B588" s="2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P588" s="0" t="n">
        <v>21.5</v>
      </c>
      <c r="Q588" s="3" t="n">
        <f aca="false">IF($C588="Control",$P588,"")</f>
        <v>21.5</v>
      </c>
      <c r="R588" s="0" t="str">
        <f aca="false">IF($C588="Treatment",$P588,"")</f>
        <v/>
      </c>
      <c r="S588" s="0" t="str">
        <f aca="false">IF(AND($C588="Control",$K588=1),$L588,"")</f>
        <v/>
      </c>
      <c r="T588" s="0" t="str">
        <f aca="false">IF(AND($C588="Treatment",$K588=1),$L588,"")</f>
        <v/>
      </c>
    </row>
    <row r="589" customFormat="false" ht="15" hidden="false" customHeight="false" outlineLevel="0" collapsed="false">
      <c r="A589" s="0" t="s">
        <v>619</v>
      </c>
      <c r="B589" s="2" t="n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0" t="n">
        <v>1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0</v>
      </c>
      <c r="P589" s="0" t="n">
        <v>65.4</v>
      </c>
      <c r="Q589" s="3" t="n">
        <f aca="false">IF($C589="Control",$P589,"")</f>
        <v>65.4</v>
      </c>
      <c r="R589" s="0" t="str">
        <f aca="false">IF($C589="Treatment",$P589,"")</f>
        <v/>
      </c>
      <c r="S589" s="0" t="str">
        <f aca="false">IF(AND($C589="Control",$K589=1),$L589,"")</f>
        <v/>
      </c>
      <c r="T589" s="0" t="str">
        <f aca="false">IF(AND($C589="Treatment",$K589=1),$L589,"")</f>
        <v/>
      </c>
    </row>
    <row r="590" customFormat="false" ht="15" hidden="false" customHeight="false" outlineLevel="0" collapsed="false">
      <c r="A590" s="0" t="s">
        <v>620</v>
      </c>
      <c r="B590" s="2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0" t="n">
        <v>1</v>
      </c>
      <c r="I590" s="0" t="n">
        <v>1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P590" s="0" t="n">
        <v>53.3</v>
      </c>
      <c r="Q590" s="3" t="n">
        <f aca="false">IF($C590="Control",$P590,"")</f>
        <v>53.3</v>
      </c>
      <c r="R590" s="0" t="str">
        <f aca="false">IF($C590="Treatment",$P590,"")</f>
        <v/>
      </c>
      <c r="S590" s="0" t="str">
        <f aca="false">IF(AND($C590="Control",$K590=1),$L590,"")</f>
        <v/>
      </c>
      <c r="T590" s="0" t="str">
        <f aca="false">IF(AND($C590="Treatment",$K590=1),$L590,"")</f>
        <v/>
      </c>
    </row>
    <row r="591" customFormat="false" ht="15" hidden="false" customHeight="false" outlineLevel="0" collapsed="false">
      <c r="A591" s="0" t="s">
        <v>621</v>
      </c>
      <c r="B591" s="2" t="n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2</v>
      </c>
      <c r="N591" s="0" t="n">
        <v>0</v>
      </c>
      <c r="P591" s="0" t="n">
        <v>52.3</v>
      </c>
      <c r="Q591" s="3" t="n">
        <f aca="false">IF($C591="Control",$P591,"")</f>
        <v>52.3</v>
      </c>
      <c r="R591" s="0" t="str">
        <f aca="false">IF($C591="Treatment",$P591,"")</f>
        <v/>
      </c>
      <c r="S591" s="0" t="str">
        <f aca="false">IF(AND($C591="Control",$K591=1),$L591,"")</f>
        <v/>
      </c>
      <c r="T591" s="0" t="str">
        <f aca="false">IF(AND($C591="Treatment",$K591=1),$L591,"")</f>
        <v/>
      </c>
    </row>
    <row r="592" customFormat="false" ht="15" hidden="false" customHeight="false" outlineLevel="0" collapsed="false">
      <c r="A592" s="0" t="s">
        <v>622</v>
      </c>
      <c r="B592" s="2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0" t="n">
        <v>1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P592" s="0" t="n">
        <v>62.5</v>
      </c>
      <c r="Q592" s="3" t="n">
        <f aca="false">IF($C592="Control",$P592,"")</f>
        <v>62.5</v>
      </c>
      <c r="R592" s="0" t="str">
        <f aca="false">IF($C592="Treatment",$P592,"")</f>
        <v/>
      </c>
      <c r="S592" s="0" t="str">
        <f aca="false">IF(AND($C592="Control",$K592=1),$L592,"")</f>
        <v/>
      </c>
      <c r="T592" s="0" t="str">
        <f aca="false">IF(AND($C592="Treatment",$K592=1),$L592,"")</f>
        <v/>
      </c>
    </row>
    <row r="593" customFormat="false" ht="15" hidden="false" customHeight="false" outlineLevel="0" collapsed="false">
      <c r="A593" s="0" t="s">
        <v>623</v>
      </c>
      <c r="B593" s="2" t="n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0" t="n">
        <v>1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P593" s="0" t="n">
        <v>69.8</v>
      </c>
      <c r="Q593" s="3" t="n">
        <f aca="false">IF($C593="Control",$P593,"")</f>
        <v>69.8</v>
      </c>
      <c r="R593" s="0" t="str">
        <f aca="false">IF($C593="Treatment",$P593,"")</f>
        <v/>
      </c>
      <c r="S593" s="0" t="str">
        <f aca="false">IF(AND($C593="Control",$K593=1),$L593,"")</f>
        <v/>
      </c>
      <c r="T593" s="0" t="str">
        <f aca="false">IF(AND($C593="Treatment",$K593=1),$L593,"")</f>
        <v/>
      </c>
    </row>
    <row r="594" customFormat="false" ht="15" hidden="false" customHeight="false" outlineLevel="0" collapsed="false">
      <c r="A594" s="0" t="s">
        <v>624</v>
      </c>
      <c r="B594" s="2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0" t="n">
        <v>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P594" s="0" t="n">
        <v>68.2</v>
      </c>
      <c r="Q594" s="3" t="n">
        <f aca="false">IF($C594="Control",$P594,"")</f>
        <v>68.2</v>
      </c>
      <c r="R594" s="0" t="str">
        <f aca="false">IF($C594="Treatment",$P594,"")</f>
        <v/>
      </c>
      <c r="S594" s="0" t="str">
        <f aca="false">IF(AND($C594="Control",$K594=1),$L594,"")</f>
        <v/>
      </c>
      <c r="T594" s="0" t="str">
        <f aca="false">IF(AND($C594="Treatment",$K594=1),$L594,"")</f>
        <v/>
      </c>
    </row>
    <row r="595" customFormat="false" ht="15" hidden="false" customHeight="false" outlineLevel="0" collapsed="false">
      <c r="A595" s="0" t="s">
        <v>625</v>
      </c>
      <c r="B595" s="2" t="n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0" t="n">
        <v>1</v>
      </c>
      <c r="I595" s="0" t="n">
        <v>1</v>
      </c>
      <c r="J595" s="0" t="n">
        <v>1</v>
      </c>
      <c r="K595" s="0" t="n">
        <v>1</v>
      </c>
      <c r="L595" s="0" t="n">
        <v>751.73</v>
      </c>
      <c r="M595" s="0" t="n">
        <v>0</v>
      </c>
      <c r="N595" s="0" t="n">
        <v>0</v>
      </c>
      <c r="O595" s="0" t="n">
        <v>6</v>
      </c>
      <c r="P595" s="0" t="n">
        <v>35.2</v>
      </c>
      <c r="Q595" s="3" t="n">
        <f aca="false">IF($C595="Control",$P595,"")</f>
        <v>35.2</v>
      </c>
      <c r="R595" s="0" t="str">
        <f aca="false">IF($C595="Treatment",$P595,"")</f>
        <v/>
      </c>
      <c r="S595" s="3" t="n">
        <f aca="false">IF(AND($C595="Control",$K595=1),$L595,"")</f>
        <v>751.73</v>
      </c>
      <c r="T595" s="0" t="str">
        <f aca="false">IF(AND($C595="Treatment",$K595=1),$L595,"")</f>
        <v/>
      </c>
    </row>
    <row r="596" customFormat="false" ht="15" hidden="false" customHeight="false" outlineLevel="0" collapsed="false">
      <c r="A596" s="0" t="s">
        <v>626</v>
      </c>
      <c r="B596" s="2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P596" s="0" t="n">
        <v>59.3</v>
      </c>
      <c r="Q596" s="3" t="n">
        <f aca="false">IF($C596="Control",$P596,"")</f>
        <v>59.3</v>
      </c>
      <c r="R596" s="0" t="str">
        <f aca="false">IF($C596="Treatment",$P596,"")</f>
        <v/>
      </c>
      <c r="S596" s="0" t="str">
        <f aca="false">IF(AND($C596="Control",$K596=1),$L596,"")</f>
        <v/>
      </c>
      <c r="T596" s="0" t="str">
        <f aca="false">IF(AND($C596="Treatment",$K596=1),$L596,"")</f>
        <v/>
      </c>
    </row>
    <row r="597" customFormat="false" ht="15" hidden="false" customHeight="false" outlineLevel="0" collapsed="false">
      <c r="A597" s="0" t="s">
        <v>627</v>
      </c>
      <c r="B597" s="2" t="n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P597" s="0" t="n">
        <v>68.1</v>
      </c>
      <c r="Q597" s="3" t="n">
        <f aca="false">IF($C597="Control",$P597,"")</f>
        <v>68.1</v>
      </c>
      <c r="R597" s="0" t="str">
        <f aca="false">IF($C597="Treatment",$P597,"")</f>
        <v/>
      </c>
      <c r="S597" s="0" t="str">
        <f aca="false">IF(AND($C597="Control",$K597=1),$L597,"")</f>
        <v/>
      </c>
      <c r="T597" s="0" t="str">
        <f aca="false">IF(AND($C597="Treatment",$K597=1),$L597,"")</f>
        <v/>
      </c>
    </row>
    <row r="598" customFormat="false" ht="15" hidden="false" customHeight="false" outlineLevel="0" collapsed="false">
      <c r="A598" s="0" t="s">
        <v>628</v>
      </c>
      <c r="B598" s="2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0" t="n">
        <v>1</v>
      </c>
      <c r="I598" s="0" t="n">
        <v>1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P598" s="0" t="n">
        <v>74.8</v>
      </c>
      <c r="Q598" s="3" t="n">
        <f aca="false">IF($C598="Control",$P598,"")</f>
        <v>74.8</v>
      </c>
      <c r="R598" s="0" t="str">
        <f aca="false">IF($C598="Treatment",$P598,"")</f>
        <v/>
      </c>
      <c r="S598" s="0" t="str">
        <f aca="false">IF(AND($C598="Control",$K598=1),$L598,"")</f>
        <v/>
      </c>
      <c r="T598" s="0" t="str">
        <f aca="false">IF(AND($C598="Treatment",$K598=1),$L598,"")</f>
        <v/>
      </c>
    </row>
    <row r="599" customFormat="false" ht="15" hidden="false" customHeight="false" outlineLevel="0" collapsed="false">
      <c r="A599" s="0" t="s">
        <v>629</v>
      </c>
      <c r="B599" s="2" t="n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0" t="n">
        <v>1</v>
      </c>
      <c r="I599" s="0" t="n">
        <v>1</v>
      </c>
      <c r="J599" s="0" t="n">
        <v>1</v>
      </c>
      <c r="K599" s="0" t="n">
        <v>0</v>
      </c>
      <c r="L599" s="0" t="n">
        <v>0</v>
      </c>
      <c r="M599" s="0" t="n">
        <v>0</v>
      </c>
      <c r="N599" s="0" t="n">
        <v>0</v>
      </c>
      <c r="P599" s="0" t="n">
        <v>61.7</v>
      </c>
      <c r="Q599" s="3" t="n">
        <f aca="false">IF($C599="Control",$P599,"")</f>
        <v>61.7</v>
      </c>
      <c r="R599" s="0" t="str">
        <f aca="false">IF($C599="Treatment",$P599,"")</f>
        <v/>
      </c>
      <c r="S599" s="0" t="str">
        <f aca="false">IF(AND($C599="Control",$K599=1),$L599,"")</f>
        <v/>
      </c>
      <c r="T599" s="0" t="str">
        <f aca="false">IF(AND($C599="Treatment",$K599=1),$L599,"")</f>
        <v/>
      </c>
    </row>
    <row r="600" customFormat="false" ht="15" hidden="false" customHeight="false" outlineLevel="0" collapsed="false">
      <c r="A600" s="0" t="s">
        <v>630</v>
      </c>
      <c r="B600" s="2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0" t="n">
        <v>1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P600" s="0" t="n">
        <v>24.3</v>
      </c>
      <c r="Q600" s="3" t="n">
        <f aca="false">IF($C600="Control",$P600,"")</f>
        <v>24.3</v>
      </c>
      <c r="R600" s="0" t="str">
        <f aca="false">IF($C600="Treatment",$P600,"")</f>
        <v/>
      </c>
      <c r="S600" s="0" t="str">
        <f aca="false">IF(AND($C600="Control",$K600=1),$L600,"")</f>
        <v/>
      </c>
      <c r="T600" s="0" t="str">
        <f aca="false">IF(AND($C600="Treatment",$K600=1),$L600,"")</f>
        <v/>
      </c>
    </row>
    <row r="601" customFormat="false" ht="15" hidden="false" customHeight="false" outlineLevel="0" collapsed="false">
      <c r="A601" s="0" t="s">
        <v>631</v>
      </c>
      <c r="B601" s="2" t="n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0</v>
      </c>
      <c r="P601" s="0" t="n">
        <v>61.9</v>
      </c>
      <c r="Q601" s="3" t="n">
        <f aca="false">IF($C601="Control",$P601,"")</f>
        <v>61.9</v>
      </c>
      <c r="R601" s="0" t="str">
        <f aca="false">IF($C601="Treatment",$P601,"")</f>
        <v/>
      </c>
      <c r="S601" s="0" t="str">
        <f aca="false">IF(AND($C601="Control",$K601=1),$L601,"")</f>
        <v/>
      </c>
      <c r="T601" s="0" t="str">
        <f aca="false">IF(AND($C601="Treatment",$K601=1),$L601,"")</f>
        <v/>
      </c>
    </row>
    <row r="602" customFormat="false" ht="15" hidden="false" customHeight="false" outlineLevel="0" collapsed="false">
      <c r="A602" s="0" t="s">
        <v>632</v>
      </c>
      <c r="B602" s="2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2</v>
      </c>
      <c r="N602" s="0" t="n">
        <v>0</v>
      </c>
      <c r="P602" s="0" t="n">
        <v>41.7</v>
      </c>
      <c r="Q602" s="3" t="n">
        <f aca="false">IF($C602="Control",$P602,"")</f>
        <v>41.7</v>
      </c>
      <c r="R602" s="0" t="str">
        <f aca="false">IF($C602="Treatment",$P602,"")</f>
        <v/>
      </c>
      <c r="S602" s="0" t="str">
        <f aca="false">IF(AND($C602="Control",$K602=1),$L602,"")</f>
        <v/>
      </c>
      <c r="T602" s="0" t="str">
        <f aca="false">IF(AND($C602="Treatment",$K602=1),$L602,"")</f>
        <v/>
      </c>
    </row>
    <row r="603" customFormat="false" ht="15" hidden="false" customHeight="false" outlineLevel="0" collapsed="false">
      <c r="A603" s="0" t="s">
        <v>633</v>
      </c>
      <c r="B603" s="2" t="n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0" t="n">
        <v>1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P603" s="0" t="n">
        <v>87.6</v>
      </c>
      <c r="Q603" s="3" t="n">
        <f aca="false">IF($C603="Control",$P603,"")</f>
        <v>87.6</v>
      </c>
      <c r="R603" s="0" t="str">
        <f aca="false">IF($C603="Treatment",$P603,"")</f>
        <v/>
      </c>
      <c r="S603" s="0" t="str">
        <f aca="false">IF(AND($C603="Control",$K603=1),$L603,"")</f>
        <v/>
      </c>
      <c r="T603" s="0" t="str">
        <f aca="false">IF(AND($C603="Treatment",$K603=1),$L603,"")</f>
        <v/>
      </c>
    </row>
    <row r="604" customFormat="false" ht="15" hidden="false" customHeight="false" outlineLevel="0" collapsed="false">
      <c r="A604" s="0" t="s">
        <v>634</v>
      </c>
      <c r="B604" s="2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0" t="n">
        <v>1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P604" s="0" t="n">
        <v>30.8</v>
      </c>
      <c r="Q604" s="3" t="n">
        <f aca="false">IF($C604="Control",$P604,"")</f>
        <v>30.8</v>
      </c>
      <c r="R604" s="0" t="str">
        <f aca="false">IF($C604="Treatment",$P604,"")</f>
        <v/>
      </c>
      <c r="S604" s="0" t="str">
        <f aca="false">IF(AND($C604="Control",$K604=1),$L604,"")</f>
        <v/>
      </c>
      <c r="T604" s="0" t="str">
        <f aca="false">IF(AND($C604="Treatment",$K604=1),$L604,"")</f>
        <v/>
      </c>
    </row>
    <row r="605" customFormat="false" ht="15" hidden="false" customHeight="false" outlineLevel="0" collapsed="false">
      <c r="A605" s="0" t="s">
        <v>635</v>
      </c>
      <c r="B605" s="2" t="n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P605" s="0" t="n">
        <v>54</v>
      </c>
      <c r="Q605" s="3" t="n">
        <f aca="false">IF($C605="Control",$P605,"")</f>
        <v>54</v>
      </c>
      <c r="R605" s="0" t="str">
        <f aca="false">IF($C605="Treatment",$P605,"")</f>
        <v/>
      </c>
      <c r="S605" s="0" t="str">
        <f aca="false">IF(AND($C605="Control",$K605=1),$L605,"")</f>
        <v/>
      </c>
      <c r="T605" s="0" t="str">
        <f aca="false">IF(AND($C605="Treatment",$K605=1),$L605,"")</f>
        <v/>
      </c>
    </row>
    <row r="606" customFormat="false" ht="15" hidden="false" customHeight="false" outlineLevel="0" collapsed="false">
      <c r="A606" s="0" t="s">
        <v>636</v>
      </c>
      <c r="B606" s="2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0" t="n">
        <v>1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0</v>
      </c>
      <c r="P606" s="0" t="n">
        <v>54.5</v>
      </c>
      <c r="Q606" s="3" t="n">
        <f aca="false">IF($C606="Control",$P606,"")</f>
        <v>54.5</v>
      </c>
      <c r="R606" s="0" t="str">
        <f aca="false">IF($C606="Treatment",$P606,"")</f>
        <v/>
      </c>
      <c r="S606" s="0" t="str">
        <f aca="false">IF(AND($C606="Control",$K606=1),$L606,"")</f>
        <v/>
      </c>
      <c r="T606" s="0" t="str">
        <f aca="false">IF(AND($C606="Treatment",$K606=1),$L606,"")</f>
        <v/>
      </c>
    </row>
    <row r="607" customFormat="false" ht="15" hidden="false" customHeight="false" outlineLevel="0" collapsed="false">
      <c r="A607" s="0" t="s">
        <v>637</v>
      </c>
      <c r="B607" s="2" t="n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0" t="n">
        <v>1</v>
      </c>
      <c r="I607" s="0" t="n">
        <v>1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P607" s="0" t="n">
        <v>61.3</v>
      </c>
      <c r="Q607" s="3" t="n">
        <f aca="false">IF($C607="Control",$P607,"")</f>
        <v>61.3</v>
      </c>
      <c r="R607" s="0" t="str">
        <f aca="false">IF($C607="Treatment",$P607,"")</f>
        <v/>
      </c>
      <c r="S607" s="0" t="str">
        <f aca="false">IF(AND($C607="Control",$K607=1),$L607,"")</f>
        <v/>
      </c>
      <c r="T607" s="0" t="str">
        <f aca="false">IF(AND($C607="Treatment",$K607=1),$L607,"")</f>
        <v/>
      </c>
    </row>
    <row r="608" customFormat="false" ht="15" hidden="false" customHeight="false" outlineLevel="0" collapsed="false">
      <c r="A608" s="0" t="s">
        <v>638</v>
      </c>
      <c r="B608" s="2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0" t="n">
        <v>1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P608" s="0" t="n">
        <v>62.7</v>
      </c>
      <c r="Q608" s="3" t="n">
        <f aca="false">IF($C608="Control",$P608,"")</f>
        <v>62.7</v>
      </c>
      <c r="R608" s="0" t="str">
        <f aca="false">IF($C608="Treatment",$P608,"")</f>
        <v/>
      </c>
      <c r="S608" s="0" t="str">
        <f aca="false">IF(AND($C608="Control",$K608=1),$L608,"")</f>
        <v/>
      </c>
      <c r="T608" s="0" t="str">
        <f aca="false">IF(AND($C608="Treatment",$K608=1),$L608,"")</f>
        <v/>
      </c>
    </row>
    <row r="609" customFormat="false" ht="15" hidden="false" customHeight="false" outlineLevel="0" collapsed="false">
      <c r="A609" s="0" t="s">
        <v>639</v>
      </c>
      <c r="B609" s="2" t="n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0" t="n">
        <v>1</v>
      </c>
      <c r="I609" s="0" t="n">
        <v>1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P609" s="0" t="n">
        <v>43.1</v>
      </c>
      <c r="Q609" s="3" t="n">
        <f aca="false">IF($C609="Control",$P609,"")</f>
        <v>43.1</v>
      </c>
      <c r="R609" s="0" t="str">
        <f aca="false">IF($C609="Treatment",$P609,"")</f>
        <v/>
      </c>
      <c r="S609" s="0" t="str">
        <f aca="false">IF(AND($C609="Control",$K609=1),$L609,"")</f>
        <v/>
      </c>
      <c r="T609" s="0" t="str">
        <f aca="false">IF(AND($C609="Treatment",$K609=1),$L609,"")</f>
        <v/>
      </c>
    </row>
    <row r="610" customFormat="false" ht="15" hidden="false" customHeight="false" outlineLevel="0" collapsed="false">
      <c r="A610" s="0" t="s">
        <v>640</v>
      </c>
      <c r="B610" s="2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P610" s="0" t="n">
        <v>59.9</v>
      </c>
      <c r="Q610" s="3" t="n">
        <f aca="false">IF($C610="Control",$P610,"")</f>
        <v>59.9</v>
      </c>
      <c r="R610" s="0" t="str">
        <f aca="false">IF($C610="Treatment",$P610,"")</f>
        <v/>
      </c>
      <c r="S610" s="0" t="str">
        <f aca="false">IF(AND($C610="Control",$K610=1),$L610,"")</f>
        <v/>
      </c>
      <c r="T610" s="0" t="str">
        <f aca="false">IF(AND($C610="Treatment",$K610=1),$L610,"")</f>
        <v/>
      </c>
    </row>
    <row r="611" customFormat="false" ht="15" hidden="false" customHeight="false" outlineLevel="0" collapsed="false">
      <c r="A611" s="0" t="s">
        <v>641</v>
      </c>
      <c r="B611" s="2" t="n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0" t="n">
        <v>1</v>
      </c>
      <c r="I611" s="0" t="n">
        <v>1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0</v>
      </c>
      <c r="P611" s="0" t="n">
        <v>55.7</v>
      </c>
      <c r="Q611" s="3" t="n">
        <f aca="false">IF($C611="Control",$P611,"")</f>
        <v>55.7</v>
      </c>
      <c r="R611" s="0" t="str">
        <f aca="false">IF($C611="Treatment",$P611,"")</f>
        <v/>
      </c>
      <c r="S611" s="0" t="str">
        <f aca="false">IF(AND($C611="Control",$K611=1),$L611,"")</f>
        <v/>
      </c>
      <c r="T611" s="0" t="str">
        <f aca="false">IF(AND($C611="Treatment",$K611=1),$L611,"")</f>
        <v/>
      </c>
    </row>
    <row r="612" customFormat="false" ht="15" hidden="false" customHeight="false" outlineLevel="0" collapsed="false">
      <c r="A612" s="0" t="s">
        <v>642</v>
      </c>
      <c r="B612" s="2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0" t="n">
        <v>1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P612" s="0" t="n">
        <v>37.1</v>
      </c>
      <c r="Q612" s="3" t="n">
        <f aca="false">IF($C612="Control",$P612,"")</f>
        <v>37.1</v>
      </c>
      <c r="R612" s="0" t="str">
        <f aca="false">IF($C612="Treatment",$P612,"")</f>
        <v/>
      </c>
      <c r="S612" s="0" t="str">
        <f aca="false">IF(AND($C612="Control",$K612=1),$L612,"")</f>
        <v/>
      </c>
      <c r="T612" s="0" t="str">
        <f aca="false">IF(AND($C612="Treatment",$K612=1),$L612,"")</f>
        <v/>
      </c>
    </row>
    <row r="613" customFormat="false" ht="15" hidden="false" customHeight="false" outlineLevel="0" collapsed="false">
      <c r="A613" s="0" t="s">
        <v>643</v>
      </c>
      <c r="B613" s="2" t="n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0</v>
      </c>
      <c r="P613" s="0" t="n">
        <v>46.7</v>
      </c>
      <c r="Q613" s="3" t="n">
        <f aca="false">IF($C613="Control",$P613,"")</f>
        <v>46.7</v>
      </c>
      <c r="R613" s="0" t="str">
        <f aca="false">IF($C613="Treatment",$P613,"")</f>
        <v/>
      </c>
      <c r="S613" s="0" t="str">
        <f aca="false">IF(AND($C613="Control",$K613=1),$L613,"")</f>
        <v/>
      </c>
      <c r="T613" s="0" t="str">
        <f aca="false">IF(AND($C613="Treatment",$K613=1),$L613,"")</f>
        <v/>
      </c>
    </row>
    <row r="614" customFormat="false" ht="15" hidden="false" customHeight="false" outlineLevel="0" collapsed="false">
      <c r="A614" s="0" t="s">
        <v>644</v>
      </c>
      <c r="B614" s="2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0" t="n">
        <v>1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P614" s="0" t="n">
        <v>54.1</v>
      </c>
      <c r="Q614" s="3" t="n">
        <f aca="false">IF($C614="Control",$P614,"")</f>
        <v>54.1</v>
      </c>
      <c r="R614" s="0" t="str">
        <f aca="false">IF($C614="Treatment",$P614,"")</f>
        <v/>
      </c>
      <c r="S614" s="0" t="str">
        <f aca="false">IF(AND($C614="Control",$K614=1),$L614,"")</f>
        <v/>
      </c>
      <c r="T614" s="0" t="str">
        <f aca="false">IF(AND($C614="Treatment",$K614=1),$L614,"")</f>
        <v/>
      </c>
    </row>
    <row r="615" customFormat="false" ht="15" hidden="false" customHeight="false" outlineLevel="0" collapsed="false">
      <c r="A615" s="0" t="s">
        <v>645</v>
      </c>
      <c r="B615" s="2" t="n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0" t="n">
        <v>1</v>
      </c>
      <c r="I615" s="0" t="n">
        <v>1</v>
      </c>
      <c r="J615" s="0" t="n">
        <v>1</v>
      </c>
      <c r="K615" s="0" t="n">
        <v>0</v>
      </c>
      <c r="L615" s="0" t="n">
        <v>0</v>
      </c>
      <c r="M615" s="0" t="n">
        <v>0</v>
      </c>
      <c r="N615" s="0" t="n">
        <v>0</v>
      </c>
      <c r="P615" s="0" t="n">
        <v>56.1</v>
      </c>
      <c r="Q615" s="3" t="n">
        <f aca="false">IF($C615="Control",$P615,"")</f>
        <v>56.1</v>
      </c>
      <c r="R615" s="0" t="str">
        <f aca="false">IF($C615="Treatment",$P615,"")</f>
        <v/>
      </c>
      <c r="S615" s="0" t="str">
        <f aca="false">IF(AND($C615="Control",$K615=1),$L615,"")</f>
        <v/>
      </c>
      <c r="T615" s="0" t="str">
        <f aca="false">IF(AND($C615="Treatment",$K615=1),$L615,"")</f>
        <v/>
      </c>
    </row>
    <row r="616" customFormat="false" ht="15" hidden="false" customHeight="false" outlineLevel="0" collapsed="false">
      <c r="A616" s="0" t="s">
        <v>646</v>
      </c>
      <c r="B616" s="2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P616" s="0" t="n">
        <v>23.6</v>
      </c>
      <c r="Q616" s="3" t="n">
        <f aca="false">IF($C616="Control",$P616,"")</f>
        <v>23.6</v>
      </c>
      <c r="R616" s="0" t="str">
        <f aca="false">IF($C616="Treatment",$P616,"")</f>
        <v/>
      </c>
      <c r="S616" s="0" t="str">
        <f aca="false">IF(AND($C616="Control",$K616=1),$L616,"")</f>
        <v/>
      </c>
      <c r="T616" s="0" t="str">
        <f aca="false">IF(AND($C616="Treatment",$K616=1),$L616,"")</f>
        <v/>
      </c>
    </row>
    <row r="617" customFormat="false" ht="15" hidden="false" customHeight="false" outlineLevel="0" collapsed="false">
      <c r="A617" s="0" t="s">
        <v>647</v>
      </c>
      <c r="B617" s="2" t="n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P617" s="0" t="n">
        <v>54.7</v>
      </c>
      <c r="Q617" s="3" t="n">
        <f aca="false">IF($C617="Control",$P617,"")</f>
        <v>54.7</v>
      </c>
      <c r="R617" s="0" t="str">
        <f aca="false">IF($C617="Treatment",$P617,"")</f>
        <v/>
      </c>
      <c r="S617" s="0" t="str">
        <f aca="false">IF(AND($C617="Control",$K617=1),$L617,"")</f>
        <v/>
      </c>
      <c r="T617" s="0" t="str">
        <f aca="false">IF(AND($C617="Treatment",$K617=1),$L617,"")</f>
        <v/>
      </c>
    </row>
    <row r="618" customFormat="false" ht="15" hidden="false" customHeight="false" outlineLevel="0" collapsed="false">
      <c r="A618" s="0" t="s">
        <v>648</v>
      </c>
      <c r="B618" s="2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2</v>
      </c>
      <c r="N618" s="0" t="n">
        <v>0</v>
      </c>
      <c r="P618" s="0" t="n">
        <v>50.4</v>
      </c>
      <c r="Q618" s="3" t="n">
        <f aca="false">IF($C618="Control",$P618,"")</f>
        <v>50.4</v>
      </c>
      <c r="R618" s="0" t="str">
        <f aca="false">IF($C618="Treatment",$P618,"")</f>
        <v/>
      </c>
      <c r="S618" s="0" t="str">
        <f aca="false">IF(AND($C618="Control",$K618=1),$L618,"")</f>
        <v/>
      </c>
      <c r="T618" s="0" t="str">
        <f aca="false">IF(AND($C618="Treatment",$K618=1),$L618,"")</f>
        <v/>
      </c>
    </row>
    <row r="619" customFormat="false" ht="15" hidden="false" customHeight="false" outlineLevel="0" collapsed="false">
      <c r="A619" s="0" t="s">
        <v>649</v>
      </c>
      <c r="B619" s="2" t="n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0" t="n">
        <v>1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P619" s="0" t="n">
        <v>54.5</v>
      </c>
      <c r="Q619" s="3" t="n">
        <f aca="false">IF($C619="Control",$P619,"")</f>
        <v>54.5</v>
      </c>
      <c r="R619" s="0" t="str">
        <f aca="false">IF($C619="Treatment",$P619,"")</f>
        <v/>
      </c>
      <c r="S619" s="0" t="str">
        <f aca="false">IF(AND($C619="Control",$K619=1),$L619,"")</f>
        <v/>
      </c>
      <c r="T619" s="0" t="str">
        <f aca="false">IF(AND($C619="Treatment",$K619=1),$L619,"")</f>
        <v/>
      </c>
    </row>
    <row r="620" customFormat="false" ht="15" hidden="false" customHeight="false" outlineLevel="0" collapsed="false">
      <c r="A620" s="0" t="s">
        <v>650</v>
      </c>
      <c r="B620" s="2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P620" s="0" t="n">
        <v>58</v>
      </c>
      <c r="Q620" s="3" t="n">
        <f aca="false">IF($C620="Control",$P620,"")</f>
        <v>58</v>
      </c>
      <c r="R620" s="0" t="str">
        <f aca="false">IF($C620="Treatment",$P620,"")</f>
        <v/>
      </c>
      <c r="S620" s="0" t="str">
        <f aca="false">IF(AND($C620="Control",$K620=1),$L620,"")</f>
        <v/>
      </c>
      <c r="T620" s="0" t="str">
        <f aca="false">IF(AND($C620="Treatment",$K620=1),$L620,"")</f>
        <v/>
      </c>
    </row>
    <row r="621" customFormat="false" ht="15" hidden="false" customHeight="false" outlineLevel="0" collapsed="false">
      <c r="A621" s="0" t="s">
        <v>651</v>
      </c>
      <c r="B621" s="2" t="n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P621" s="0" t="n">
        <v>42.9</v>
      </c>
      <c r="Q621" s="3" t="n">
        <f aca="false">IF($C621="Control",$P621,"")</f>
        <v>42.9</v>
      </c>
      <c r="R621" s="0" t="str">
        <f aca="false">IF($C621="Treatment",$P621,"")</f>
        <v/>
      </c>
      <c r="S621" s="0" t="str">
        <f aca="false">IF(AND($C621="Control",$K621=1),$L621,"")</f>
        <v/>
      </c>
      <c r="T621" s="0" t="str">
        <f aca="false">IF(AND($C621="Treatment",$K621=1),$L621,"")</f>
        <v/>
      </c>
    </row>
    <row r="622" customFormat="false" ht="15" hidden="false" customHeight="false" outlineLevel="0" collapsed="false">
      <c r="A622" s="0" t="s">
        <v>652</v>
      </c>
      <c r="B622" s="2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0" t="n">
        <v>1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P622" s="0" t="n">
        <v>51.1</v>
      </c>
      <c r="Q622" s="3" t="n">
        <f aca="false">IF($C622="Control",$P622,"")</f>
        <v>51.1</v>
      </c>
      <c r="R622" s="0" t="str">
        <f aca="false">IF($C622="Treatment",$P622,"")</f>
        <v/>
      </c>
      <c r="S622" s="0" t="str">
        <f aca="false">IF(AND($C622="Control",$K622=1),$L622,"")</f>
        <v/>
      </c>
      <c r="T622" s="0" t="str">
        <f aca="false">IF(AND($C622="Treatment",$K622=1),$L622,"")</f>
        <v/>
      </c>
    </row>
    <row r="623" customFormat="false" ht="15" hidden="false" customHeight="false" outlineLevel="0" collapsed="false">
      <c r="A623" s="0" t="s">
        <v>653</v>
      </c>
      <c r="B623" s="2" t="n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0" t="n">
        <v>1</v>
      </c>
      <c r="I623" s="0" t="n">
        <v>1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P623" s="0" t="n">
        <v>51.8</v>
      </c>
      <c r="Q623" s="3" t="n">
        <f aca="false">IF($C623="Control",$P623,"")</f>
        <v>51.8</v>
      </c>
      <c r="R623" s="0" t="str">
        <f aca="false">IF($C623="Treatment",$P623,"")</f>
        <v/>
      </c>
      <c r="S623" s="0" t="str">
        <f aca="false">IF(AND($C623="Control",$K623=1),$L623,"")</f>
        <v/>
      </c>
      <c r="T623" s="0" t="str">
        <f aca="false">IF(AND($C623="Treatment",$K623=1),$L623,"")</f>
        <v/>
      </c>
    </row>
    <row r="624" customFormat="false" ht="15" hidden="false" customHeight="false" outlineLevel="0" collapsed="false">
      <c r="A624" s="0" t="s">
        <v>654</v>
      </c>
      <c r="B624" s="2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P624" s="0" t="n">
        <v>67.7</v>
      </c>
      <c r="Q624" s="3" t="n">
        <f aca="false">IF($C624="Control",$P624,"")</f>
        <v>67.7</v>
      </c>
      <c r="R624" s="0" t="str">
        <f aca="false">IF($C624="Treatment",$P624,"")</f>
        <v/>
      </c>
      <c r="S624" s="0" t="str">
        <f aca="false">IF(AND($C624="Control",$K624=1),$L624,"")</f>
        <v/>
      </c>
      <c r="T624" s="0" t="str">
        <f aca="false">IF(AND($C624="Treatment",$K624=1),$L624,"")</f>
        <v/>
      </c>
    </row>
    <row r="625" customFormat="false" ht="15" hidden="false" customHeight="false" outlineLevel="0" collapsed="false">
      <c r="A625" s="0" t="s">
        <v>655</v>
      </c>
      <c r="B625" s="2" t="n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P625" s="0" t="n">
        <v>75.8</v>
      </c>
      <c r="Q625" s="3" t="n">
        <f aca="false">IF($C625="Control",$P625,"")</f>
        <v>75.8</v>
      </c>
      <c r="R625" s="0" t="str">
        <f aca="false">IF($C625="Treatment",$P625,"")</f>
        <v/>
      </c>
      <c r="S625" s="0" t="str">
        <f aca="false">IF(AND($C625="Control",$K625=1),$L625,"")</f>
        <v/>
      </c>
      <c r="T625" s="0" t="str">
        <f aca="false">IF(AND($C625="Treatment",$K625=1),$L625,"")</f>
        <v/>
      </c>
    </row>
    <row r="626" customFormat="false" ht="15" hidden="false" customHeight="false" outlineLevel="0" collapsed="false">
      <c r="A626" s="0" t="s">
        <v>656</v>
      </c>
      <c r="B626" s="2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0" t="n">
        <v>1</v>
      </c>
      <c r="I626" s="0" t="n">
        <v>1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P626" s="0" t="n">
        <v>72.8</v>
      </c>
      <c r="Q626" s="3" t="n">
        <f aca="false">IF($C626="Control",$P626,"")</f>
        <v>72.8</v>
      </c>
      <c r="R626" s="0" t="str">
        <f aca="false">IF($C626="Treatment",$P626,"")</f>
        <v/>
      </c>
      <c r="S626" s="0" t="str">
        <f aca="false">IF(AND($C626="Control",$K626=1),$L626,"")</f>
        <v/>
      </c>
      <c r="T626" s="0" t="str">
        <f aca="false">IF(AND($C626="Treatment",$K626=1),$L626,"")</f>
        <v/>
      </c>
    </row>
    <row r="627" customFormat="false" ht="15" hidden="false" customHeight="false" outlineLevel="0" collapsed="false">
      <c r="A627" s="0" t="s">
        <v>657</v>
      </c>
      <c r="B627" s="2" t="n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0" t="n">
        <v>1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P627" s="0" t="n">
        <v>54.4</v>
      </c>
      <c r="Q627" s="3" t="n">
        <f aca="false">IF($C627="Control",$P627,"")</f>
        <v>54.4</v>
      </c>
      <c r="R627" s="0" t="str">
        <f aca="false">IF($C627="Treatment",$P627,"")</f>
        <v/>
      </c>
      <c r="S627" s="0" t="str">
        <f aca="false">IF(AND($C627="Control",$K627=1),$L627,"")</f>
        <v/>
      </c>
      <c r="T627" s="0" t="str">
        <f aca="false">IF(AND($C627="Treatment",$K627=1),$L627,"")</f>
        <v/>
      </c>
    </row>
    <row r="628" customFormat="false" ht="15" hidden="false" customHeight="false" outlineLevel="0" collapsed="false">
      <c r="A628" s="0" t="s">
        <v>658</v>
      </c>
      <c r="B628" s="2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0" t="n">
        <v>1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P628" s="0" t="n">
        <v>51.8</v>
      </c>
      <c r="Q628" s="3" t="n">
        <f aca="false">IF($C628="Control",$P628,"")</f>
        <v>51.8</v>
      </c>
      <c r="R628" s="0" t="str">
        <f aca="false">IF($C628="Treatment",$P628,"")</f>
        <v/>
      </c>
      <c r="S628" s="0" t="str">
        <f aca="false">IF(AND($C628="Control",$K628=1),$L628,"")</f>
        <v/>
      </c>
      <c r="T628" s="0" t="str">
        <f aca="false">IF(AND($C628="Treatment",$K628=1),$L628,"")</f>
        <v/>
      </c>
    </row>
    <row r="629" customFormat="false" ht="15" hidden="false" customHeight="false" outlineLevel="0" collapsed="false">
      <c r="A629" s="0" t="s">
        <v>659</v>
      </c>
      <c r="B629" s="2" t="n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P629" s="0" t="n">
        <v>40.3</v>
      </c>
      <c r="Q629" s="3" t="n">
        <f aca="false">IF($C629="Control",$P629,"")</f>
        <v>40.3</v>
      </c>
      <c r="R629" s="0" t="str">
        <f aca="false">IF($C629="Treatment",$P629,"")</f>
        <v/>
      </c>
      <c r="S629" s="0" t="str">
        <f aca="false">IF(AND($C629="Control",$K629=1),$L629,"")</f>
        <v/>
      </c>
      <c r="T629" s="0" t="str">
        <f aca="false">IF(AND($C629="Treatment",$K629=1),$L629,"")</f>
        <v/>
      </c>
    </row>
    <row r="630" customFormat="false" ht="15" hidden="false" customHeight="false" outlineLevel="0" collapsed="false">
      <c r="A630" s="0" t="s">
        <v>660</v>
      </c>
      <c r="B630" s="2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0" t="n">
        <v>1</v>
      </c>
      <c r="I630" s="0" t="n">
        <v>1</v>
      </c>
      <c r="J630" s="0" t="n">
        <v>1</v>
      </c>
      <c r="K630" s="0" t="n">
        <v>0</v>
      </c>
      <c r="L630" s="0" t="n">
        <v>0</v>
      </c>
      <c r="M630" s="0" t="n">
        <v>0</v>
      </c>
      <c r="N630" s="0" t="n">
        <v>0</v>
      </c>
      <c r="P630" s="0" t="n">
        <v>61.7</v>
      </c>
      <c r="Q630" s="3" t="n">
        <f aca="false">IF($C630="Control",$P630,"")</f>
        <v>61.7</v>
      </c>
      <c r="R630" s="0" t="str">
        <f aca="false">IF($C630="Treatment",$P630,"")</f>
        <v/>
      </c>
      <c r="S630" s="0" t="str">
        <f aca="false">IF(AND($C630="Control",$K630=1),$L630,"")</f>
        <v/>
      </c>
      <c r="T630" s="0" t="str">
        <f aca="false">IF(AND($C630="Treatment",$K630=1),$L630,"")</f>
        <v/>
      </c>
    </row>
    <row r="631" customFormat="false" ht="15" hidden="false" customHeight="false" outlineLevel="0" collapsed="false">
      <c r="A631" s="0" t="s">
        <v>661</v>
      </c>
      <c r="B631" s="2" t="n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P631" s="0" t="n">
        <v>45</v>
      </c>
      <c r="Q631" s="3" t="n">
        <f aca="false">IF($C631="Control",$P631,"")</f>
        <v>45</v>
      </c>
      <c r="R631" s="0" t="str">
        <f aca="false">IF($C631="Treatment",$P631,"")</f>
        <v/>
      </c>
      <c r="S631" s="0" t="str">
        <f aca="false">IF(AND($C631="Control",$K631=1),$L631,"")</f>
        <v/>
      </c>
      <c r="T631" s="0" t="str">
        <f aca="false">IF(AND($C631="Treatment",$K631=1),$L631,"")</f>
        <v/>
      </c>
    </row>
    <row r="632" customFormat="false" ht="15" hidden="false" customHeight="false" outlineLevel="0" collapsed="false">
      <c r="A632" s="0" t="s">
        <v>662</v>
      </c>
      <c r="B632" s="2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0" t="n">
        <v>1</v>
      </c>
      <c r="I632" s="0" t="n">
        <v>1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P632" s="0" t="n">
        <v>60</v>
      </c>
      <c r="Q632" s="3" t="n">
        <f aca="false">IF($C632="Control",$P632,"")</f>
        <v>60</v>
      </c>
      <c r="R632" s="0" t="str">
        <f aca="false">IF($C632="Treatment",$P632,"")</f>
        <v/>
      </c>
      <c r="S632" s="0" t="str">
        <f aca="false">IF(AND($C632="Control",$K632=1),$L632,"")</f>
        <v/>
      </c>
      <c r="T632" s="0" t="str">
        <f aca="false">IF(AND($C632="Treatment",$K632=1),$L632,"")</f>
        <v/>
      </c>
    </row>
    <row r="633" customFormat="false" ht="15" hidden="false" customHeight="false" outlineLevel="0" collapsed="false">
      <c r="A633" s="0" t="s">
        <v>663</v>
      </c>
      <c r="B633" s="2" t="n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0" t="n">
        <v>1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  <c r="Q633" s="3" t="n">
        <f aca="false">IF($C633="Control",$P633,"")</f>
        <v>0</v>
      </c>
      <c r="R633" s="0" t="str">
        <f aca="false">IF($C633="Treatment",$P633,"")</f>
        <v/>
      </c>
      <c r="S633" s="0" t="str">
        <f aca="false">IF(AND($C633="Control",$K633=1),$L633,"")</f>
        <v/>
      </c>
      <c r="T633" s="0" t="str">
        <f aca="false">IF(AND($C633="Treatment",$K633=1),$L633,"")</f>
        <v/>
      </c>
    </row>
    <row r="634" customFormat="false" ht="15" hidden="false" customHeight="false" outlineLevel="0" collapsed="false">
      <c r="A634" s="0" t="s">
        <v>664</v>
      </c>
      <c r="B634" s="2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0" t="n">
        <v>1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P634" s="0" t="n">
        <v>55.5</v>
      </c>
      <c r="Q634" s="3" t="n">
        <f aca="false">IF($C634="Control",$P634,"")</f>
        <v>55.5</v>
      </c>
      <c r="R634" s="0" t="str">
        <f aca="false">IF($C634="Treatment",$P634,"")</f>
        <v/>
      </c>
      <c r="S634" s="0" t="str">
        <f aca="false">IF(AND($C634="Control",$K634=1),$L634,"")</f>
        <v/>
      </c>
      <c r="T634" s="0" t="str">
        <f aca="false">IF(AND($C634="Treatment",$K634=1),$L634,"")</f>
        <v/>
      </c>
    </row>
    <row r="635" customFormat="false" ht="15" hidden="false" customHeight="false" outlineLevel="0" collapsed="false">
      <c r="A635" s="0" t="s">
        <v>665</v>
      </c>
      <c r="B635" s="2" t="n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P635" s="0" t="n">
        <v>51.8</v>
      </c>
      <c r="Q635" s="3" t="n">
        <f aca="false">IF($C635="Control",$P635,"")</f>
        <v>51.8</v>
      </c>
      <c r="R635" s="0" t="str">
        <f aca="false">IF($C635="Treatment",$P635,"")</f>
        <v/>
      </c>
      <c r="S635" s="0" t="str">
        <f aca="false">IF(AND($C635="Control",$K635=1),$L635,"")</f>
        <v/>
      </c>
      <c r="T635" s="0" t="str">
        <f aca="false">IF(AND($C635="Treatment",$K635=1),$L635,"")</f>
        <v/>
      </c>
    </row>
    <row r="636" customFormat="false" ht="15" hidden="false" customHeight="false" outlineLevel="0" collapsed="false">
      <c r="A636" s="0" t="s">
        <v>666</v>
      </c>
      <c r="B636" s="2" t="n">
        <v>45803</v>
      </c>
      <c r="C636" s="3" t="s">
        <v>17</v>
      </c>
      <c r="D636" s="3" t="s">
        <v>28</v>
      </c>
      <c r="E636" s="3" t="s">
        <v>24</v>
      </c>
      <c r="F636" s="3" t="s">
        <v>1470</v>
      </c>
      <c r="G636" s="3" t="s">
        <v>30</v>
      </c>
      <c r="H636" s="0" t="n">
        <v>1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3</v>
      </c>
      <c r="N636" s="0" t="n">
        <v>0</v>
      </c>
      <c r="P636" s="0" t="n">
        <v>56</v>
      </c>
      <c r="Q636" s="3" t="n">
        <f aca="false">IF($C636="Control",$P636,"")</f>
        <v>56</v>
      </c>
      <c r="R636" s="0" t="str">
        <f aca="false">IF($C636="Treatment",$P636,"")</f>
        <v/>
      </c>
      <c r="S636" s="0" t="str">
        <f aca="false">IF(AND($C636="Control",$K636=1),$L636,"")</f>
        <v/>
      </c>
      <c r="T636" s="0" t="str">
        <f aca="false">IF(AND($C636="Treatment",$K636=1),$L636,"")</f>
        <v/>
      </c>
    </row>
    <row r="637" customFormat="false" ht="15" hidden="false" customHeight="false" outlineLevel="0" collapsed="false">
      <c r="A637" s="0" t="s">
        <v>667</v>
      </c>
      <c r="B637" s="2" t="n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P637" s="0" t="n">
        <v>52.5</v>
      </c>
      <c r="Q637" s="3" t="n">
        <f aca="false">IF($C637="Control",$P637,"")</f>
        <v>52.5</v>
      </c>
      <c r="R637" s="0" t="str">
        <f aca="false">IF($C637="Treatment",$P637,"")</f>
        <v/>
      </c>
      <c r="S637" s="0" t="str">
        <f aca="false">IF(AND($C637="Control",$K637=1),$L637,"")</f>
        <v/>
      </c>
      <c r="T637" s="0" t="str">
        <f aca="false">IF(AND($C637="Treatment",$K637=1),$L637,"")</f>
        <v/>
      </c>
    </row>
    <row r="638" customFormat="false" ht="15" hidden="false" customHeight="false" outlineLevel="0" collapsed="false">
      <c r="A638" s="0" t="s">
        <v>668</v>
      </c>
      <c r="B638" s="2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0" t="n">
        <v>1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P638" s="0" t="n">
        <v>42.5</v>
      </c>
      <c r="Q638" s="3" t="n">
        <f aca="false">IF($C638="Control",$P638,"")</f>
        <v>42.5</v>
      </c>
      <c r="R638" s="0" t="str">
        <f aca="false">IF($C638="Treatment",$P638,"")</f>
        <v/>
      </c>
      <c r="S638" s="0" t="str">
        <f aca="false">IF(AND($C638="Control",$K638=1),$L638,"")</f>
        <v/>
      </c>
      <c r="T638" s="0" t="str">
        <f aca="false">IF(AND($C638="Treatment",$K638=1),$L638,"")</f>
        <v/>
      </c>
    </row>
    <row r="639" customFormat="false" ht="15" hidden="false" customHeight="false" outlineLevel="0" collapsed="false">
      <c r="A639" s="0" t="s">
        <v>669</v>
      </c>
      <c r="B639" s="2" t="n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0" t="n">
        <v>1</v>
      </c>
      <c r="I639" s="0" t="n">
        <v>1</v>
      </c>
      <c r="J639" s="0" t="n">
        <v>1</v>
      </c>
      <c r="K639" s="0" t="n">
        <v>0</v>
      </c>
      <c r="L639" s="0" t="n">
        <v>0</v>
      </c>
      <c r="M639" s="0" t="n">
        <v>0</v>
      </c>
      <c r="N639" s="0" t="n">
        <v>0</v>
      </c>
      <c r="P639" s="0" t="n">
        <v>65.3</v>
      </c>
      <c r="Q639" s="3" t="n">
        <f aca="false">IF($C639="Control",$P639,"")</f>
        <v>65.3</v>
      </c>
      <c r="R639" s="0" t="str">
        <f aca="false">IF($C639="Treatment",$P639,"")</f>
        <v/>
      </c>
      <c r="S639" s="0" t="str">
        <f aca="false">IF(AND($C639="Control",$K639=1),$L639,"")</f>
        <v/>
      </c>
      <c r="T639" s="0" t="str">
        <f aca="false">IF(AND($C639="Treatment",$K639=1),$L639,"")</f>
        <v/>
      </c>
    </row>
    <row r="640" customFormat="false" ht="15" hidden="false" customHeight="false" outlineLevel="0" collapsed="false">
      <c r="A640" s="0" t="s">
        <v>670</v>
      </c>
      <c r="B640" s="2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P640" s="0" t="n">
        <v>37.6</v>
      </c>
      <c r="Q640" s="3" t="n">
        <f aca="false">IF($C640="Control",$P640,"")</f>
        <v>37.6</v>
      </c>
      <c r="R640" s="0" t="str">
        <f aca="false">IF($C640="Treatment",$P640,"")</f>
        <v/>
      </c>
      <c r="S640" s="0" t="str">
        <f aca="false">IF(AND($C640="Control",$K640=1),$L640,"")</f>
        <v/>
      </c>
      <c r="T640" s="0" t="str">
        <f aca="false">IF(AND($C640="Treatment",$K640=1),$L640,"")</f>
        <v/>
      </c>
    </row>
    <row r="641" customFormat="false" ht="15" hidden="false" customHeight="false" outlineLevel="0" collapsed="false">
      <c r="A641" s="0" t="s">
        <v>671</v>
      </c>
      <c r="B641" s="2" t="n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P641" s="0" t="n">
        <v>57.8</v>
      </c>
      <c r="Q641" s="3" t="n">
        <f aca="false">IF($C641="Control",$P641,"")</f>
        <v>57.8</v>
      </c>
      <c r="R641" s="0" t="str">
        <f aca="false">IF($C641="Treatment",$P641,"")</f>
        <v/>
      </c>
      <c r="S641" s="0" t="str">
        <f aca="false">IF(AND($C641="Control",$K641=1),$L641,"")</f>
        <v/>
      </c>
      <c r="T641" s="0" t="str">
        <f aca="false">IF(AND($C641="Treatment",$K641=1),$L641,"")</f>
        <v/>
      </c>
    </row>
    <row r="642" customFormat="false" ht="15" hidden="false" customHeight="false" outlineLevel="0" collapsed="false">
      <c r="A642" s="0" t="s">
        <v>672</v>
      </c>
      <c r="B642" s="2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0" t="n">
        <v>1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P642" s="0" t="n">
        <v>52.7</v>
      </c>
      <c r="Q642" s="3" t="n">
        <f aca="false">IF($C642="Control",$P642,"")</f>
        <v>52.7</v>
      </c>
      <c r="R642" s="0" t="str">
        <f aca="false">IF($C642="Treatment",$P642,"")</f>
        <v/>
      </c>
      <c r="S642" s="0" t="str">
        <f aca="false">IF(AND($C642="Control",$K642=1),$L642,"")</f>
        <v/>
      </c>
      <c r="T642" s="0" t="str">
        <f aca="false">IF(AND($C642="Treatment",$K642=1),$L642,"")</f>
        <v/>
      </c>
    </row>
    <row r="643" customFormat="false" ht="15" hidden="false" customHeight="false" outlineLevel="0" collapsed="false">
      <c r="A643" s="0" t="s">
        <v>673</v>
      </c>
      <c r="B643" s="2" t="n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P643" s="0" t="n">
        <v>51.7</v>
      </c>
      <c r="Q643" s="3" t="n">
        <f aca="false">IF($C643="Control",$P643,"")</f>
        <v>51.7</v>
      </c>
      <c r="R643" s="0" t="str">
        <f aca="false">IF($C643="Treatment",$P643,"")</f>
        <v/>
      </c>
      <c r="S643" s="0" t="str">
        <f aca="false">IF(AND($C643="Control",$K643=1),$L643,"")</f>
        <v/>
      </c>
      <c r="T643" s="0" t="str">
        <f aca="false">IF(AND($C643="Treatment",$K643=1),$L643,"")</f>
        <v/>
      </c>
    </row>
    <row r="644" customFormat="false" ht="15" hidden="false" customHeight="false" outlineLevel="0" collapsed="false">
      <c r="A644" s="0" t="s">
        <v>674</v>
      </c>
      <c r="B644" s="2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P644" s="0" t="n">
        <v>57</v>
      </c>
      <c r="Q644" s="3" t="n">
        <f aca="false">IF($C644="Control",$P644,"")</f>
        <v>57</v>
      </c>
      <c r="R644" s="0" t="str">
        <f aca="false">IF($C644="Treatment",$P644,"")</f>
        <v/>
      </c>
      <c r="S644" s="0" t="str">
        <f aca="false">IF(AND($C644="Control",$K644=1),$L644,"")</f>
        <v/>
      </c>
      <c r="T644" s="0" t="str">
        <f aca="false">IF(AND($C644="Treatment",$K644=1),$L644,"")</f>
        <v/>
      </c>
    </row>
    <row r="645" customFormat="false" ht="15" hidden="false" customHeight="false" outlineLevel="0" collapsed="false">
      <c r="A645" s="0" t="s">
        <v>675</v>
      </c>
      <c r="B645" s="2" t="n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P645" s="0" t="n">
        <v>39.5</v>
      </c>
      <c r="Q645" s="3" t="n">
        <f aca="false">IF($C645="Control",$P645,"")</f>
        <v>39.5</v>
      </c>
      <c r="R645" s="0" t="str">
        <f aca="false">IF($C645="Treatment",$P645,"")</f>
        <v/>
      </c>
      <c r="S645" s="0" t="str">
        <f aca="false">IF(AND($C645="Control",$K645=1),$L645,"")</f>
        <v/>
      </c>
      <c r="T645" s="0" t="str">
        <f aca="false">IF(AND($C645="Treatment",$K645=1),$L645,"")</f>
        <v/>
      </c>
    </row>
    <row r="646" customFormat="false" ht="15" hidden="false" customHeight="false" outlineLevel="0" collapsed="false">
      <c r="A646" s="0" t="s">
        <v>676</v>
      </c>
      <c r="B646" s="2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0" t="n">
        <v>1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P646" s="0" t="n">
        <v>76.5</v>
      </c>
      <c r="Q646" s="3" t="n">
        <f aca="false">IF($C646="Control",$P646,"")</f>
        <v>76.5</v>
      </c>
      <c r="R646" s="0" t="str">
        <f aca="false">IF($C646="Treatment",$P646,"")</f>
        <v/>
      </c>
      <c r="S646" s="0" t="str">
        <f aca="false">IF(AND($C646="Control",$K646=1),$L646,"")</f>
        <v/>
      </c>
      <c r="T646" s="0" t="str">
        <f aca="false">IF(AND($C646="Treatment",$K646=1),$L646,"")</f>
        <v/>
      </c>
    </row>
    <row r="647" customFormat="false" ht="15" hidden="false" customHeight="false" outlineLevel="0" collapsed="false">
      <c r="A647" s="0" t="s">
        <v>677</v>
      </c>
      <c r="B647" s="2" t="n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0" t="n">
        <v>1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P647" s="0" t="n">
        <v>32.4</v>
      </c>
      <c r="Q647" s="3" t="n">
        <f aca="false">IF($C647="Control",$P647,"")</f>
        <v>32.4</v>
      </c>
      <c r="R647" s="0" t="str">
        <f aca="false">IF($C647="Treatment",$P647,"")</f>
        <v/>
      </c>
      <c r="S647" s="0" t="str">
        <f aca="false">IF(AND($C647="Control",$K647=1),$L647,"")</f>
        <v/>
      </c>
      <c r="T647" s="0" t="str">
        <f aca="false">IF(AND($C647="Treatment",$K647=1),$L647,"")</f>
        <v/>
      </c>
    </row>
    <row r="648" customFormat="false" ht="15" hidden="false" customHeight="false" outlineLevel="0" collapsed="false">
      <c r="A648" s="0" t="s">
        <v>678</v>
      </c>
      <c r="B648" s="2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P648" s="0" t="n">
        <v>58.6</v>
      </c>
      <c r="Q648" s="3" t="n">
        <f aca="false">IF($C648="Control",$P648,"")</f>
        <v>58.6</v>
      </c>
      <c r="R648" s="0" t="str">
        <f aca="false">IF($C648="Treatment",$P648,"")</f>
        <v/>
      </c>
      <c r="S648" s="0" t="str">
        <f aca="false">IF(AND($C648="Control",$K648=1),$L648,"")</f>
        <v/>
      </c>
      <c r="T648" s="0" t="str">
        <f aca="false">IF(AND($C648="Treatment",$K648=1),$L648,"")</f>
        <v/>
      </c>
    </row>
    <row r="649" customFormat="false" ht="15" hidden="false" customHeight="false" outlineLevel="0" collapsed="false">
      <c r="A649" s="0" t="s">
        <v>679</v>
      </c>
      <c r="B649" s="2" t="n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0" t="n">
        <v>1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P649" s="0" t="n">
        <v>78.6</v>
      </c>
      <c r="Q649" s="3" t="n">
        <f aca="false">IF($C649="Control",$P649,"")</f>
        <v>78.6</v>
      </c>
      <c r="R649" s="0" t="str">
        <f aca="false">IF($C649="Treatment",$P649,"")</f>
        <v/>
      </c>
      <c r="S649" s="0" t="str">
        <f aca="false">IF(AND($C649="Control",$K649=1),$L649,"")</f>
        <v/>
      </c>
      <c r="T649" s="0" t="str">
        <f aca="false">IF(AND($C649="Treatment",$K649=1),$L649,"")</f>
        <v/>
      </c>
    </row>
    <row r="650" customFormat="false" ht="15" hidden="false" customHeight="false" outlineLevel="0" collapsed="false">
      <c r="A650" s="0" t="s">
        <v>680</v>
      </c>
      <c r="B650" s="2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P650" s="0" t="n">
        <v>54.5</v>
      </c>
      <c r="Q650" s="3" t="n">
        <f aca="false">IF($C650="Control",$P650,"")</f>
        <v>54.5</v>
      </c>
      <c r="R650" s="0" t="str">
        <f aca="false">IF($C650="Treatment",$P650,"")</f>
        <v/>
      </c>
      <c r="S650" s="0" t="str">
        <f aca="false">IF(AND($C650="Control",$K650=1),$L650,"")</f>
        <v/>
      </c>
      <c r="T650" s="0" t="str">
        <f aca="false">IF(AND($C650="Treatment",$K650=1),$L650,"")</f>
        <v/>
      </c>
    </row>
    <row r="651" customFormat="false" ht="15" hidden="false" customHeight="false" outlineLevel="0" collapsed="false">
      <c r="A651" s="0" t="s">
        <v>681</v>
      </c>
      <c r="B651" s="2" t="n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P651" s="0" t="n">
        <v>57.6</v>
      </c>
      <c r="Q651" s="3" t="n">
        <f aca="false">IF($C651="Control",$P651,"")</f>
        <v>57.6</v>
      </c>
      <c r="R651" s="0" t="str">
        <f aca="false">IF($C651="Treatment",$P651,"")</f>
        <v/>
      </c>
      <c r="S651" s="0" t="str">
        <f aca="false">IF(AND($C651="Control",$K651=1),$L651,"")</f>
        <v/>
      </c>
      <c r="T651" s="0" t="str">
        <f aca="false">IF(AND($C651="Treatment",$K651=1),$L651,"")</f>
        <v/>
      </c>
    </row>
    <row r="652" customFormat="false" ht="15" hidden="false" customHeight="false" outlineLevel="0" collapsed="false">
      <c r="A652" s="0" t="s">
        <v>682</v>
      </c>
      <c r="B652" s="2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P652" s="0" t="n">
        <v>52.8</v>
      </c>
      <c r="Q652" s="3" t="n">
        <f aca="false">IF($C652="Control",$P652,"")</f>
        <v>52.8</v>
      </c>
      <c r="R652" s="0" t="str">
        <f aca="false">IF($C652="Treatment",$P652,"")</f>
        <v/>
      </c>
      <c r="S652" s="0" t="str">
        <f aca="false">IF(AND($C652="Control",$K652=1),$L652,"")</f>
        <v/>
      </c>
      <c r="T652" s="0" t="str">
        <f aca="false">IF(AND($C652="Treatment",$K652=1),$L652,"")</f>
        <v/>
      </c>
    </row>
    <row r="653" customFormat="false" ht="15" hidden="false" customHeight="false" outlineLevel="0" collapsed="false">
      <c r="A653" s="0" t="s">
        <v>683</v>
      </c>
      <c r="B653" s="2" t="n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0" t="n">
        <v>1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P653" s="0" t="n">
        <v>52.9</v>
      </c>
      <c r="Q653" s="3" t="n">
        <f aca="false">IF($C653="Control",$P653,"")</f>
        <v>52.9</v>
      </c>
      <c r="R653" s="0" t="str">
        <f aca="false">IF($C653="Treatment",$P653,"")</f>
        <v/>
      </c>
      <c r="S653" s="0" t="str">
        <f aca="false">IF(AND($C653="Control",$K653=1),$L653,"")</f>
        <v/>
      </c>
      <c r="T653" s="0" t="str">
        <f aca="false">IF(AND($C653="Treatment",$K653=1),$L653,"")</f>
        <v/>
      </c>
    </row>
    <row r="654" customFormat="false" ht="15" hidden="false" customHeight="false" outlineLevel="0" collapsed="false">
      <c r="A654" s="0" t="s">
        <v>684</v>
      </c>
      <c r="B654" s="2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0" t="n">
        <v>1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0</v>
      </c>
      <c r="P654" s="0" t="n">
        <v>55.9</v>
      </c>
      <c r="Q654" s="3" t="n">
        <f aca="false">IF($C654="Control",$P654,"")</f>
        <v>55.9</v>
      </c>
      <c r="R654" s="0" t="str">
        <f aca="false">IF($C654="Treatment",$P654,"")</f>
        <v/>
      </c>
      <c r="S654" s="0" t="str">
        <f aca="false">IF(AND($C654="Control",$K654=1),$L654,"")</f>
        <v/>
      </c>
      <c r="T654" s="0" t="str">
        <f aca="false">IF(AND($C654="Treatment",$K654=1),$L654,"")</f>
        <v/>
      </c>
    </row>
    <row r="655" customFormat="false" ht="15" hidden="false" customHeight="false" outlineLevel="0" collapsed="false">
      <c r="A655" s="0" t="s">
        <v>685</v>
      </c>
      <c r="B655" s="2" t="n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0" t="n">
        <v>1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P655" s="0" t="n">
        <v>74.2</v>
      </c>
      <c r="Q655" s="3" t="n">
        <f aca="false">IF($C655="Control",$P655,"")</f>
        <v>74.2</v>
      </c>
      <c r="R655" s="0" t="str">
        <f aca="false">IF($C655="Treatment",$P655,"")</f>
        <v/>
      </c>
      <c r="S655" s="0" t="str">
        <f aca="false">IF(AND($C655="Control",$K655=1),$L655,"")</f>
        <v/>
      </c>
      <c r="T655" s="0" t="str">
        <f aca="false">IF(AND($C655="Treatment",$K655=1),$L655,"")</f>
        <v/>
      </c>
    </row>
    <row r="656" customFormat="false" ht="15" hidden="false" customHeight="false" outlineLevel="0" collapsed="false">
      <c r="A656" s="0" t="s">
        <v>686</v>
      </c>
      <c r="B656" s="2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P656" s="0" t="n">
        <v>46.3</v>
      </c>
      <c r="Q656" s="3" t="n">
        <f aca="false">IF($C656="Control",$P656,"")</f>
        <v>46.3</v>
      </c>
      <c r="R656" s="0" t="str">
        <f aca="false">IF($C656="Treatment",$P656,"")</f>
        <v/>
      </c>
      <c r="S656" s="0" t="str">
        <f aca="false">IF(AND($C656="Control",$K656=1),$L656,"")</f>
        <v/>
      </c>
      <c r="T656" s="0" t="str">
        <f aca="false">IF(AND($C656="Treatment",$K656=1),$L656,"")</f>
        <v/>
      </c>
    </row>
    <row r="657" customFormat="false" ht="15" hidden="false" customHeight="false" outlineLevel="0" collapsed="false">
      <c r="A657" s="0" t="s">
        <v>687</v>
      </c>
      <c r="B657" s="2" t="n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0" t="n">
        <v>1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P657" s="0" t="n">
        <v>62</v>
      </c>
      <c r="Q657" s="3" t="n">
        <f aca="false">IF($C657="Control",$P657,"")</f>
        <v>62</v>
      </c>
      <c r="R657" s="0" t="str">
        <f aca="false">IF($C657="Treatment",$P657,"")</f>
        <v/>
      </c>
      <c r="S657" s="0" t="str">
        <f aca="false">IF(AND($C657="Control",$K657=1),$L657,"")</f>
        <v/>
      </c>
      <c r="T657" s="0" t="str">
        <f aca="false">IF(AND($C657="Treatment",$K657=1),$L657,"")</f>
        <v/>
      </c>
    </row>
    <row r="658" customFormat="false" ht="15" hidden="false" customHeight="false" outlineLevel="0" collapsed="false">
      <c r="A658" s="0" t="s">
        <v>688</v>
      </c>
      <c r="B658" s="2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P658" s="0" t="n">
        <v>55.6</v>
      </c>
      <c r="Q658" s="3" t="n">
        <f aca="false">IF($C658="Control",$P658,"")</f>
        <v>55.6</v>
      </c>
      <c r="R658" s="0" t="str">
        <f aca="false">IF($C658="Treatment",$P658,"")</f>
        <v/>
      </c>
      <c r="S658" s="0" t="str">
        <f aca="false">IF(AND($C658="Control",$K658=1),$L658,"")</f>
        <v/>
      </c>
      <c r="T658" s="0" t="str">
        <f aca="false">IF(AND($C658="Treatment",$K658=1),$L658,"")</f>
        <v/>
      </c>
    </row>
    <row r="659" customFormat="false" ht="15" hidden="false" customHeight="false" outlineLevel="0" collapsed="false">
      <c r="A659" s="0" t="s">
        <v>689</v>
      </c>
      <c r="B659" s="2" t="n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0" t="n">
        <v>1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P659" s="0" t="n">
        <v>62.8</v>
      </c>
      <c r="Q659" s="3" t="n">
        <f aca="false">IF($C659="Control",$P659,"")</f>
        <v>62.8</v>
      </c>
      <c r="R659" s="0" t="str">
        <f aca="false">IF($C659="Treatment",$P659,"")</f>
        <v/>
      </c>
      <c r="S659" s="0" t="str">
        <f aca="false">IF(AND($C659="Control",$K659=1),$L659,"")</f>
        <v/>
      </c>
      <c r="T659" s="0" t="str">
        <f aca="false">IF(AND($C659="Treatment",$K659=1),$L659,"")</f>
        <v/>
      </c>
    </row>
    <row r="660" customFormat="false" ht="15" hidden="false" customHeight="false" outlineLevel="0" collapsed="false">
      <c r="A660" s="0" t="s">
        <v>690</v>
      </c>
      <c r="B660" s="2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P660" s="0" t="n">
        <v>73.1</v>
      </c>
      <c r="Q660" s="3" t="n">
        <f aca="false">IF($C660="Control",$P660,"")</f>
        <v>73.1</v>
      </c>
      <c r="R660" s="0" t="str">
        <f aca="false">IF($C660="Treatment",$P660,"")</f>
        <v/>
      </c>
      <c r="S660" s="0" t="str">
        <f aca="false">IF(AND($C660="Control",$K660=1),$L660,"")</f>
        <v/>
      </c>
      <c r="T660" s="0" t="str">
        <f aca="false">IF(AND($C660="Treatment",$K660=1),$L660,"")</f>
        <v/>
      </c>
    </row>
    <row r="661" customFormat="false" ht="15" hidden="false" customHeight="false" outlineLevel="0" collapsed="false">
      <c r="A661" s="0" t="s">
        <v>691</v>
      </c>
      <c r="B661" s="2" t="n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0" t="n">
        <v>1</v>
      </c>
      <c r="I661" s="0" t="n">
        <v>1</v>
      </c>
      <c r="J661" s="0" t="n">
        <v>1</v>
      </c>
      <c r="K661" s="0" t="n">
        <v>1</v>
      </c>
      <c r="L661" s="0" t="n">
        <v>347.52</v>
      </c>
      <c r="M661" s="0" t="n">
        <v>0</v>
      </c>
      <c r="N661" s="0" t="n">
        <v>0</v>
      </c>
      <c r="O661" s="0" t="n">
        <v>2</v>
      </c>
      <c r="P661" s="0" t="n">
        <v>57.2</v>
      </c>
      <c r="Q661" s="3" t="n">
        <f aca="false">IF($C661="Control",$P661,"")</f>
        <v>57.2</v>
      </c>
      <c r="R661" s="0" t="str">
        <f aca="false">IF($C661="Treatment",$P661,"")</f>
        <v/>
      </c>
      <c r="S661" s="3" t="n">
        <f aca="false">IF(AND($C661="Control",$K661=1),$L661,"")</f>
        <v>347.52</v>
      </c>
      <c r="T661" s="0" t="str">
        <f aca="false">IF(AND($C661="Treatment",$K661=1),$L661,"")</f>
        <v/>
      </c>
    </row>
    <row r="662" customFormat="false" ht="15" hidden="false" customHeight="false" outlineLevel="0" collapsed="false">
      <c r="A662" s="0" t="s">
        <v>692</v>
      </c>
      <c r="B662" s="2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0" t="n">
        <v>1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P662" s="0" t="n">
        <v>67.9</v>
      </c>
      <c r="Q662" s="3" t="n">
        <f aca="false">IF($C662="Control",$P662,"")</f>
        <v>67.9</v>
      </c>
      <c r="R662" s="0" t="str">
        <f aca="false">IF($C662="Treatment",$P662,"")</f>
        <v/>
      </c>
      <c r="S662" s="0" t="str">
        <f aca="false">IF(AND($C662="Control",$K662=1),$L662,"")</f>
        <v/>
      </c>
      <c r="T662" s="0" t="str">
        <f aca="false">IF(AND($C662="Treatment",$K662=1),$L662,"")</f>
        <v/>
      </c>
    </row>
    <row r="663" customFormat="false" ht="15" hidden="false" customHeight="false" outlineLevel="0" collapsed="false">
      <c r="A663" s="0" t="s">
        <v>693</v>
      </c>
      <c r="B663" s="2" t="n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P663" s="0" t="n">
        <v>50.1</v>
      </c>
      <c r="Q663" s="3" t="n">
        <f aca="false">IF($C663="Control",$P663,"")</f>
        <v>50.1</v>
      </c>
      <c r="R663" s="0" t="str">
        <f aca="false">IF($C663="Treatment",$P663,"")</f>
        <v/>
      </c>
      <c r="S663" s="0" t="str">
        <f aca="false">IF(AND($C663="Control",$K663=1),$L663,"")</f>
        <v/>
      </c>
      <c r="T663" s="0" t="str">
        <f aca="false">IF(AND($C663="Treatment",$K663=1),$L663,"")</f>
        <v/>
      </c>
    </row>
    <row r="664" customFormat="false" ht="15" hidden="false" customHeight="false" outlineLevel="0" collapsed="false">
      <c r="A664" s="0" t="s">
        <v>694</v>
      </c>
      <c r="B664" s="2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P664" s="0" t="n">
        <v>67.8</v>
      </c>
      <c r="Q664" s="3" t="n">
        <f aca="false">IF($C664="Control",$P664,"")</f>
        <v>67.8</v>
      </c>
      <c r="R664" s="0" t="str">
        <f aca="false">IF($C664="Treatment",$P664,"")</f>
        <v/>
      </c>
      <c r="S664" s="0" t="str">
        <f aca="false">IF(AND($C664="Control",$K664=1),$L664,"")</f>
        <v/>
      </c>
      <c r="T664" s="0" t="str">
        <f aca="false">IF(AND($C664="Treatment",$K664=1),$L664,"")</f>
        <v/>
      </c>
    </row>
    <row r="665" customFormat="false" ht="15" hidden="false" customHeight="false" outlineLevel="0" collapsed="false">
      <c r="A665" s="0" t="s">
        <v>695</v>
      </c>
      <c r="B665" s="2" t="n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0" t="n">
        <v>1</v>
      </c>
      <c r="I665" s="0" t="n">
        <v>1</v>
      </c>
      <c r="J665" s="0" t="n">
        <v>1</v>
      </c>
      <c r="K665" s="0" t="n">
        <v>0</v>
      </c>
      <c r="L665" s="0" t="n">
        <v>0</v>
      </c>
      <c r="M665" s="0" t="n">
        <v>0</v>
      </c>
      <c r="N665" s="0" t="n">
        <v>0</v>
      </c>
      <c r="P665" s="0" t="n">
        <v>60.8</v>
      </c>
      <c r="Q665" s="3" t="n">
        <f aca="false">IF($C665="Control",$P665,"")</f>
        <v>60.8</v>
      </c>
      <c r="R665" s="0" t="str">
        <f aca="false">IF($C665="Treatment",$P665,"")</f>
        <v/>
      </c>
      <c r="S665" s="0" t="str">
        <f aca="false">IF(AND($C665="Control",$K665=1),$L665,"")</f>
        <v/>
      </c>
      <c r="T665" s="0" t="str">
        <f aca="false">IF(AND($C665="Treatment",$K665=1),$L665,"")</f>
        <v/>
      </c>
    </row>
    <row r="666" customFormat="false" ht="15" hidden="false" customHeight="false" outlineLevel="0" collapsed="false">
      <c r="A666" s="0" t="s">
        <v>696</v>
      </c>
      <c r="B666" s="2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0" t="n">
        <v>1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3</v>
      </c>
      <c r="N666" s="0" t="n">
        <v>0</v>
      </c>
      <c r="P666" s="0" t="n">
        <v>33.7</v>
      </c>
      <c r="Q666" s="3" t="n">
        <f aca="false">IF($C666="Control",$P666,"")</f>
        <v>33.7</v>
      </c>
      <c r="R666" s="0" t="str">
        <f aca="false">IF($C666="Treatment",$P666,"")</f>
        <v/>
      </c>
      <c r="S666" s="0" t="str">
        <f aca="false">IF(AND($C666="Control",$K666=1),$L666,"")</f>
        <v/>
      </c>
      <c r="T666" s="0" t="str">
        <f aca="false">IF(AND($C666="Treatment",$K666=1),$L666,"")</f>
        <v/>
      </c>
    </row>
    <row r="667" customFormat="false" ht="15" hidden="false" customHeight="false" outlineLevel="0" collapsed="false">
      <c r="A667" s="0" t="s">
        <v>697</v>
      </c>
      <c r="B667" s="2" t="n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P667" s="0" t="n">
        <v>45.2</v>
      </c>
      <c r="Q667" s="3" t="n">
        <f aca="false">IF($C667="Control",$P667,"")</f>
        <v>45.2</v>
      </c>
      <c r="R667" s="0" t="str">
        <f aca="false">IF($C667="Treatment",$P667,"")</f>
        <v/>
      </c>
      <c r="S667" s="0" t="str">
        <f aca="false">IF(AND($C667="Control",$K667=1),$L667,"")</f>
        <v/>
      </c>
      <c r="T667" s="0" t="str">
        <f aca="false">IF(AND($C667="Treatment",$K667=1),$L667,"")</f>
        <v/>
      </c>
    </row>
    <row r="668" customFormat="false" ht="15" hidden="false" customHeight="false" outlineLevel="0" collapsed="false">
      <c r="A668" s="0" t="s">
        <v>698</v>
      </c>
      <c r="B668" s="2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P668" s="0" t="n">
        <v>48.2</v>
      </c>
      <c r="Q668" s="3" t="n">
        <f aca="false">IF($C668="Control",$P668,"")</f>
        <v>48.2</v>
      </c>
      <c r="R668" s="0" t="str">
        <f aca="false">IF($C668="Treatment",$P668,"")</f>
        <v/>
      </c>
      <c r="S668" s="0" t="str">
        <f aca="false">IF(AND($C668="Control",$K668=1),$L668,"")</f>
        <v/>
      </c>
      <c r="T668" s="0" t="str">
        <f aca="false">IF(AND($C668="Treatment",$K668=1),$L668,"")</f>
        <v/>
      </c>
    </row>
    <row r="669" customFormat="false" ht="15" hidden="false" customHeight="false" outlineLevel="0" collapsed="false">
      <c r="A669" s="0" t="s">
        <v>699</v>
      </c>
      <c r="B669" s="2" t="n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0" t="n">
        <v>1</v>
      </c>
      <c r="I669" s="0" t="n">
        <v>1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0</v>
      </c>
      <c r="P669" s="0" t="n">
        <v>44.8</v>
      </c>
      <c r="Q669" s="3" t="n">
        <f aca="false">IF($C669="Control",$P669,"")</f>
        <v>44.8</v>
      </c>
      <c r="R669" s="0" t="str">
        <f aca="false">IF($C669="Treatment",$P669,"")</f>
        <v/>
      </c>
      <c r="S669" s="0" t="str">
        <f aca="false">IF(AND($C669="Control",$K669=1),$L669,"")</f>
        <v/>
      </c>
      <c r="T669" s="0" t="str">
        <f aca="false">IF(AND($C669="Treatment",$K669=1),$L669,"")</f>
        <v/>
      </c>
    </row>
    <row r="670" customFormat="false" ht="15" hidden="false" customHeight="false" outlineLevel="0" collapsed="false">
      <c r="A670" s="0" t="s">
        <v>700</v>
      </c>
      <c r="B670" s="2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P670" s="0" t="n">
        <v>52.1</v>
      </c>
      <c r="Q670" s="3" t="n">
        <f aca="false">IF($C670="Control",$P670,"")</f>
        <v>52.1</v>
      </c>
      <c r="R670" s="0" t="str">
        <f aca="false">IF($C670="Treatment",$P670,"")</f>
        <v/>
      </c>
      <c r="S670" s="0" t="str">
        <f aca="false">IF(AND($C670="Control",$K670=1),$L670,"")</f>
        <v/>
      </c>
      <c r="T670" s="0" t="str">
        <f aca="false">IF(AND($C670="Treatment",$K670=1),$L670,"")</f>
        <v/>
      </c>
    </row>
    <row r="671" customFormat="false" ht="15" hidden="false" customHeight="false" outlineLevel="0" collapsed="false">
      <c r="A671" s="0" t="s">
        <v>701</v>
      </c>
      <c r="B671" s="2" t="n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0" t="n">
        <v>1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P671" s="0" t="n">
        <v>30.7</v>
      </c>
      <c r="Q671" s="3" t="n">
        <f aca="false">IF($C671="Control",$P671,"")</f>
        <v>30.7</v>
      </c>
      <c r="R671" s="0" t="str">
        <f aca="false">IF($C671="Treatment",$P671,"")</f>
        <v/>
      </c>
      <c r="S671" s="0" t="str">
        <f aca="false">IF(AND($C671="Control",$K671=1),$L671,"")</f>
        <v/>
      </c>
      <c r="T671" s="0" t="str">
        <f aca="false">IF(AND($C671="Treatment",$K671=1),$L671,"")</f>
        <v/>
      </c>
    </row>
    <row r="672" customFormat="false" ht="15" hidden="false" customHeight="false" outlineLevel="0" collapsed="false">
      <c r="A672" s="0" t="s">
        <v>702</v>
      </c>
      <c r="B672" s="2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0" t="n">
        <v>1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P672" s="0" t="n">
        <v>58.4</v>
      </c>
      <c r="Q672" s="3" t="n">
        <f aca="false">IF($C672="Control",$P672,"")</f>
        <v>58.4</v>
      </c>
      <c r="R672" s="0" t="str">
        <f aca="false">IF($C672="Treatment",$P672,"")</f>
        <v/>
      </c>
      <c r="S672" s="0" t="str">
        <f aca="false">IF(AND($C672="Control",$K672=1),$L672,"")</f>
        <v/>
      </c>
      <c r="T672" s="0" t="str">
        <f aca="false">IF(AND($C672="Treatment",$K672=1),$L672,"")</f>
        <v/>
      </c>
    </row>
    <row r="673" customFormat="false" ht="15" hidden="false" customHeight="false" outlineLevel="0" collapsed="false">
      <c r="A673" s="0" t="s">
        <v>703</v>
      </c>
      <c r="B673" s="2" t="n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0" t="n">
        <v>1</v>
      </c>
      <c r="I673" s="0" t="n">
        <v>1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P673" s="0" t="n">
        <v>52.6</v>
      </c>
      <c r="Q673" s="3" t="n">
        <f aca="false">IF($C673="Control",$P673,"")</f>
        <v>52.6</v>
      </c>
      <c r="R673" s="0" t="str">
        <f aca="false">IF($C673="Treatment",$P673,"")</f>
        <v/>
      </c>
      <c r="S673" s="0" t="str">
        <f aca="false">IF(AND($C673="Control",$K673=1),$L673,"")</f>
        <v/>
      </c>
      <c r="T673" s="0" t="str">
        <f aca="false">IF(AND($C673="Treatment",$K673=1),$L673,"")</f>
        <v/>
      </c>
    </row>
    <row r="674" customFormat="false" ht="15" hidden="false" customHeight="false" outlineLevel="0" collapsed="false">
      <c r="A674" s="0" t="s">
        <v>704</v>
      </c>
      <c r="B674" s="2" t="n">
        <v>45667</v>
      </c>
      <c r="C674" s="3" t="s">
        <v>17</v>
      </c>
      <c r="D674" s="3" t="s">
        <v>23</v>
      </c>
      <c r="E674" s="3" t="s">
        <v>1470</v>
      </c>
      <c r="F674" s="3" t="s">
        <v>29</v>
      </c>
      <c r="G674" s="3" t="s">
        <v>26</v>
      </c>
      <c r="H674" s="0" t="n">
        <v>1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0</v>
      </c>
      <c r="P674" s="0" t="n">
        <v>19.1</v>
      </c>
      <c r="Q674" s="3" t="n">
        <f aca="false">IF($C674="Control",$P674,"")</f>
        <v>19.1</v>
      </c>
      <c r="R674" s="0" t="str">
        <f aca="false">IF($C674="Treatment",$P674,"")</f>
        <v/>
      </c>
      <c r="S674" s="0" t="str">
        <f aca="false">IF(AND($C674="Control",$K674=1),$L674,"")</f>
        <v/>
      </c>
      <c r="T674" s="0" t="str">
        <f aca="false">IF(AND($C674="Treatment",$K674=1),$L674,"")</f>
        <v/>
      </c>
    </row>
    <row r="675" customFormat="false" ht="15" hidden="false" customHeight="false" outlineLevel="0" collapsed="false">
      <c r="A675" s="0" t="s">
        <v>705</v>
      </c>
      <c r="B675" s="2" t="n">
        <v>45737</v>
      </c>
      <c r="C675" s="3" t="s">
        <v>17</v>
      </c>
      <c r="D675" s="3" t="s">
        <v>32</v>
      </c>
      <c r="E675" s="3" t="s">
        <v>1470</v>
      </c>
      <c r="F675" s="3" t="s">
        <v>29</v>
      </c>
      <c r="G675" s="3" t="s">
        <v>26</v>
      </c>
      <c r="H675" s="0" t="n">
        <v>1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P675" s="0" t="n">
        <v>36.8</v>
      </c>
      <c r="Q675" s="3" t="n">
        <f aca="false">IF($C675="Control",$P675,"")</f>
        <v>36.8</v>
      </c>
      <c r="R675" s="0" t="str">
        <f aca="false">IF($C675="Treatment",$P675,"")</f>
        <v/>
      </c>
      <c r="S675" s="0" t="str">
        <f aca="false">IF(AND($C675="Control",$K675=1),$L675,"")</f>
        <v/>
      </c>
      <c r="T675" s="0" t="str">
        <f aca="false">IF(AND($C675="Treatment",$K675=1),$L675,"")</f>
        <v/>
      </c>
    </row>
    <row r="676" customFormat="false" ht="15" hidden="false" customHeight="false" outlineLevel="0" collapsed="false">
      <c r="A676" s="0" t="s">
        <v>706</v>
      </c>
      <c r="B676" s="2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P676" s="0" t="n">
        <v>68.5</v>
      </c>
      <c r="Q676" s="3" t="n">
        <f aca="false">IF($C676="Control",$P676,"")</f>
        <v>68.5</v>
      </c>
      <c r="R676" s="0" t="str">
        <f aca="false">IF($C676="Treatment",$P676,"")</f>
        <v/>
      </c>
      <c r="S676" s="0" t="str">
        <f aca="false">IF(AND($C676="Control",$K676=1),$L676,"")</f>
        <v/>
      </c>
      <c r="T676" s="0" t="str">
        <f aca="false">IF(AND($C676="Treatment",$K676=1),$L676,"")</f>
        <v/>
      </c>
    </row>
    <row r="677" customFormat="false" ht="15" hidden="false" customHeight="false" outlineLevel="0" collapsed="false">
      <c r="A677" s="0" t="s">
        <v>707</v>
      </c>
      <c r="B677" s="2" t="n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0" t="n">
        <v>1</v>
      </c>
      <c r="I677" s="0" t="n">
        <v>1</v>
      </c>
      <c r="J677" s="0" t="n">
        <v>1</v>
      </c>
      <c r="K677" s="0" t="n">
        <v>0</v>
      </c>
      <c r="L677" s="0" t="n">
        <v>0</v>
      </c>
      <c r="M677" s="0" t="n">
        <v>0</v>
      </c>
      <c r="N677" s="0" t="n">
        <v>0</v>
      </c>
      <c r="P677" s="0" t="n">
        <v>40.1</v>
      </c>
      <c r="Q677" s="3" t="n">
        <f aca="false">IF($C677="Control",$P677,"")</f>
        <v>40.1</v>
      </c>
      <c r="R677" s="0" t="str">
        <f aca="false">IF($C677="Treatment",$P677,"")</f>
        <v/>
      </c>
      <c r="S677" s="0" t="str">
        <f aca="false">IF(AND($C677="Control",$K677=1),$L677,"")</f>
        <v/>
      </c>
      <c r="T677" s="0" t="str">
        <f aca="false">IF(AND($C677="Treatment",$K677=1),$L677,"")</f>
        <v/>
      </c>
    </row>
    <row r="678" customFormat="false" ht="15" hidden="false" customHeight="false" outlineLevel="0" collapsed="false">
      <c r="A678" s="0" t="s">
        <v>708</v>
      </c>
      <c r="B678" s="2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0" t="n">
        <v>1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P678" s="0" t="n">
        <v>47.5</v>
      </c>
      <c r="Q678" s="3" t="n">
        <f aca="false">IF($C678="Control",$P678,"")</f>
        <v>47.5</v>
      </c>
      <c r="R678" s="0" t="str">
        <f aca="false">IF($C678="Treatment",$P678,"")</f>
        <v/>
      </c>
      <c r="S678" s="0" t="str">
        <f aca="false">IF(AND($C678="Control",$K678=1),$L678,"")</f>
        <v/>
      </c>
      <c r="T678" s="0" t="str">
        <f aca="false">IF(AND($C678="Treatment",$K678=1),$L678,"")</f>
        <v/>
      </c>
    </row>
    <row r="679" customFormat="false" ht="15" hidden="false" customHeight="false" outlineLevel="0" collapsed="false">
      <c r="A679" s="0" t="s">
        <v>709</v>
      </c>
      <c r="B679" s="2" t="n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0" t="n">
        <v>1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P679" s="0" t="n">
        <v>77.1</v>
      </c>
      <c r="Q679" s="3" t="n">
        <f aca="false">IF($C679="Control",$P679,"")</f>
        <v>77.1</v>
      </c>
      <c r="R679" s="0" t="str">
        <f aca="false">IF($C679="Treatment",$P679,"")</f>
        <v/>
      </c>
      <c r="S679" s="0" t="str">
        <f aca="false">IF(AND($C679="Control",$K679=1),$L679,"")</f>
        <v/>
      </c>
      <c r="T679" s="0" t="str">
        <f aca="false">IF(AND($C679="Treatment",$K679=1),$L679,"")</f>
        <v/>
      </c>
    </row>
    <row r="680" customFormat="false" ht="15" hidden="false" customHeight="false" outlineLevel="0" collapsed="false">
      <c r="A680" s="0" t="s">
        <v>710</v>
      </c>
      <c r="B680" s="2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0" t="n">
        <v>1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P680" s="0" t="n">
        <v>75.9</v>
      </c>
      <c r="Q680" s="3" t="n">
        <f aca="false">IF($C680="Control",$P680,"")</f>
        <v>75.9</v>
      </c>
      <c r="R680" s="0" t="str">
        <f aca="false">IF($C680="Treatment",$P680,"")</f>
        <v/>
      </c>
      <c r="S680" s="0" t="str">
        <f aca="false">IF(AND($C680="Control",$K680=1),$L680,"")</f>
        <v/>
      </c>
      <c r="T680" s="0" t="str">
        <f aca="false">IF(AND($C680="Treatment",$K680=1),$L680,"")</f>
        <v/>
      </c>
    </row>
    <row r="681" customFormat="false" ht="15" hidden="false" customHeight="false" outlineLevel="0" collapsed="false">
      <c r="A681" s="0" t="s">
        <v>711</v>
      </c>
      <c r="B681" s="2" t="n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0</v>
      </c>
      <c r="P681" s="0" t="n">
        <v>52</v>
      </c>
      <c r="Q681" s="3" t="n">
        <f aca="false">IF($C681="Control",$P681,"")</f>
        <v>52</v>
      </c>
      <c r="R681" s="0" t="str">
        <f aca="false">IF($C681="Treatment",$P681,"")</f>
        <v/>
      </c>
      <c r="S681" s="0" t="str">
        <f aca="false">IF(AND($C681="Control",$K681=1),$L681,"")</f>
        <v/>
      </c>
      <c r="T681" s="0" t="str">
        <f aca="false">IF(AND($C681="Treatment",$K681=1),$L681,"")</f>
        <v/>
      </c>
    </row>
    <row r="682" customFormat="false" ht="15" hidden="false" customHeight="false" outlineLevel="0" collapsed="false">
      <c r="A682" s="0" t="s">
        <v>712</v>
      </c>
      <c r="B682" s="2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0" t="n">
        <v>1</v>
      </c>
      <c r="I682" s="0" t="n">
        <v>1</v>
      </c>
      <c r="J682" s="0" t="n">
        <v>1</v>
      </c>
      <c r="K682" s="0" t="n">
        <v>0</v>
      </c>
      <c r="L682" s="0" t="n">
        <v>0</v>
      </c>
      <c r="M682" s="0" t="n">
        <v>0</v>
      </c>
      <c r="N682" s="0" t="n">
        <v>0</v>
      </c>
      <c r="P682" s="0" t="n">
        <v>64.9</v>
      </c>
      <c r="Q682" s="3" t="n">
        <f aca="false">IF($C682="Control",$P682,"")</f>
        <v>64.9</v>
      </c>
      <c r="R682" s="0" t="str">
        <f aca="false">IF($C682="Treatment",$P682,"")</f>
        <v/>
      </c>
      <c r="S682" s="0" t="str">
        <f aca="false">IF(AND($C682="Control",$K682=1),$L682,"")</f>
        <v/>
      </c>
      <c r="T682" s="0" t="str">
        <f aca="false">IF(AND($C682="Treatment",$K682=1),$L682,"")</f>
        <v/>
      </c>
    </row>
    <row r="683" customFormat="false" ht="15" hidden="false" customHeight="false" outlineLevel="0" collapsed="false">
      <c r="A683" s="0" t="s">
        <v>713</v>
      </c>
      <c r="B683" s="2" t="n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0" t="n">
        <v>1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P683" s="0" t="n">
        <v>48.2</v>
      </c>
      <c r="Q683" s="3" t="n">
        <f aca="false">IF($C683="Control",$P683,"")</f>
        <v>48.2</v>
      </c>
      <c r="R683" s="0" t="str">
        <f aca="false">IF($C683="Treatment",$P683,"")</f>
        <v/>
      </c>
      <c r="S683" s="0" t="str">
        <f aca="false">IF(AND($C683="Control",$K683=1),$L683,"")</f>
        <v/>
      </c>
      <c r="T683" s="0" t="str">
        <f aca="false">IF(AND($C683="Treatment",$K683=1),$L683,"")</f>
        <v/>
      </c>
    </row>
    <row r="684" customFormat="false" ht="15" hidden="false" customHeight="false" outlineLevel="0" collapsed="false">
      <c r="A684" s="0" t="s">
        <v>714</v>
      </c>
      <c r="B684" s="2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P684" s="0" t="n">
        <v>42.1</v>
      </c>
      <c r="Q684" s="3" t="n">
        <f aca="false">IF($C684="Control",$P684,"")</f>
        <v>42.1</v>
      </c>
      <c r="R684" s="0" t="str">
        <f aca="false">IF($C684="Treatment",$P684,"")</f>
        <v/>
      </c>
      <c r="S684" s="0" t="str">
        <f aca="false">IF(AND($C684="Control",$K684=1),$L684,"")</f>
        <v/>
      </c>
      <c r="T684" s="0" t="str">
        <f aca="false">IF(AND($C684="Treatment",$K684=1),$L684,"")</f>
        <v/>
      </c>
    </row>
    <row r="685" customFormat="false" ht="15" hidden="false" customHeight="false" outlineLevel="0" collapsed="false">
      <c r="A685" s="0" t="s">
        <v>715</v>
      </c>
      <c r="B685" s="2" t="n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P685" s="0" t="n">
        <v>27.6</v>
      </c>
      <c r="Q685" s="3" t="n">
        <f aca="false">IF($C685="Control",$P685,"")</f>
        <v>27.6</v>
      </c>
      <c r="R685" s="0" t="str">
        <f aca="false">IF($C685="Treatment",$P685,"")</f>
        <v/>
      </c>
      <c r="S685" s="0" t="str">
        <f aca="false">IF(AND($C685="Control",$K685=1),$L685,"")</f>
        <v/>
      </c>
      <c r="T685" s="0" t="str">
        <f aca="false">IF(AND($C685="Treatment",$K685=1),$L685,"")</f>
        <v/>
      </c>
    </row>
    <row r="686" customFormat="false" ht="15" hidden="false" customHeight="false" outlineLevel="0" collapsed="false">
      <c r="A686" s="0" t="s">
        <v>716</v>
      </c>
      <c r="B686" s="2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0" t="n">
        <v>1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0</v>
      </c>
      <c r="P686" s="0" t="n">
        <v>68.5</v>
      </c>
      <c r="Q686" s="3" t="n">
        <f aca="false">IF($C686="Control",$P686,"")</f>
        <v>68.5</v>
      </c>
      <c r="R686" s="0" t="str">
        <f aca="false">IF($C686="Treatment",$P686,"")</f>
        <v/>
      </c>
      <c r="S686" s="0" t="str">
        <f aca="false">IF(AND($C686="Control",$K686=1),$L686,"")</f>
        <v/>
      </c>
      <c r="T686" s="0" t="str">
        <f aca="false">IF(AND($C686="Treatment",$K686=1),$L686,"")</f>
        <v/>
      </c>
    </row>
    <row r="687" customFormat="false" ht="15" hidden="false" customHeight="false" outlineLevel="0" collapsed="false">
      <c r="A687" s="0" t="s">
        <v>717</v>
      </c>
      <c r="B687" s="2" t="n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0" t="n">
        <v>1</v>
      </c>
      <c r="I687" s="0" t="n">
        <v>1</v>
      </c>
      <c r="J687" s="0" t="n">
        <v>1</v>
      </c>
      <c r="K687" s="0" t="n">
        <v>0</v>
      </c>
      <c r="L687" s="0" t="n">
        <v>0</v>
      </c>
      <c r="M687" s="0" t="n">
        <v>0</v>
      </c>
      <c r="N687" s="0" t="n">
        <v>0</v>
      </c>
      <c r="P687" s="0" t="n">
        <v>59.2</v>
      </c>
      <c r="Q687" s="3" t="n">
        <f aca="false">IF($C687="Control",$P687,"")</f>
        <v>59.2</v>
      </c>
      <c r="R687" s="0" t="str">
        <f aca="false">IF($C687="Treatment",$P687,"")</f>
        <v/>
      </c>
      <c r="S687" s="0" t="str">
        <f aca="false">IF(AND($C687="Control",$K687=1),$L687,"")</f>
        <v/>
      </c>
      <c r="T687" s="0" t="str">
        <f aca="false">IF(AND($C687="Treatment",$K687=1),$L687,"")</f>
        <v/>
      </c>
    </row>
    <row r="688" customFormat="false" ht="15" hidden="false" customHeight="false" outlineLevel="0" collapsed="false">
      <c r="A688" s="0" t="s">
        <v>718</v>
      </c>
      <c r="B688" s="2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0" t="n">
        <v>1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P688" s="0" t="n">
        <v>63.3</v>
      </c>
      <c r="Q688" s="3" t="n">
        <f aca="false">IF($C688="Control",$P688,"")</f>
        <v>63.3</v>
      </c>
      <c r="R688" s="0" t="str">
        <f aca="false">IF($C688="Treatment",$P688,"")</f>
        <v/>
      </c>
      <c r="S688" s="0" t="str">
        <f aca="false">IF(AND($C688="Control",$K688=1),$L688,"")</f>
        <v/>
      </c>
      <c r="T688" s="0" t="str">
        <f aca="false">IF(AND($C688="Treatment",$K688=1),$L688,"")</f>
        <v/>
      </c>
    </row>
    <row r="689" customFormat="false" ht="15" hidden="false" customHeight="false" outlineLevel="0" collapsed="false">
      <c r="A689" s="0" t="s">
        <v>719</v>
      </c>
      <c r="B689" s="2" t="n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P689" s="0" t="n">
        <v>55</v>
      </c>
      <c r="Q689" s="3" t="n">
        <f aca="false">IF($C689="Control",$P689,"")</f>
        <v>55</v>
      </c>
      <c r="R689" s="0" t="str">
        <f aca="false">IF($C689="Treatment",$P689,"")</f>
        <v/>
      </c>
      <c r="S689" s="0" t="str">
        <f aca="false">IF(AND($C689="Control",$K689=1),$L689,"")</f>
        <v/>
      </c>
      <c r="T689" s="0" t="str">
        <f aca="false">IF(AND($C689="Treatment",$K689=1),$L689,"")</f>
        <v/>
      </c>
    </row>
    <row r="690" customFormat="false" ht="15" hidden="false" customHeight="false" outlineLevel="0" collapsed="false">
      <c r="A690" s="0" t="s">
        <v>720</v>
      </c>
      <c r="B690" s="2" t="n">
        <v>45804</v>
      </c>
      <c r="C690" s="3" t="s">
        <v>17</v>
      </c>
      <c r="D690" s="3" t="s">
        <v>18</v>
      </c>
      <c r="E690" s="3" t="s">
        <v>19</v>
      </c>
      <c r="F690" s="3" t="s">
        <v>1470</v>
      </c>
      <c r="G690" s="3" t="s">
        <v>30</v>
      </c>
      <c r="H690" s="0" t="n">
        <v>1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P690" s="0" t="n">
        <v>64.8</v>
      </c>
      <c r="Q690" s="3" t="n">
        <f aca="false">IF($C690="Control",$P690,"")</f>
        <v>64.8</v>
      </c>
      <c r="R690" s="0" t="str">
        <f aca="false">IF($C690="Treatment",$P690,"")</f>
        <v/>
      </c>
      <c r="S690" s="0" t="str">
        <f aca="false">IF(AND($C690="Control",$K690=1),$L690,"")</f>
        <v/>
      </c>
      <c r="T690" s="0" t="str">
        <f aca="false">IF(AND($C690="Treatment",$K690=1),$L690,"")</f>
        <v/>
      </c>
    </row>
    <row r="691" customFormat="false" ht="15" hidden="false" customHeight="false" outlineLevel="0" collapsed="false">
      <c r="A691" s="0" t="s">
        <v>721</v>
      </c>
      <c r="B691" s="2" t="n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2</v>
      </c>
      <c r="N691" s="0" t="n">
        <v>0</v>
      </c>
      <c r="P691" s="0" t="n">
        <v>41.8</v>
      </c>
      <c r="Q691" s="3" t="n">
        <f aca="false">IF($C691="Control",$P691,"")</f>
        <v>41.8</v>
      </c>
      <c r="R691" s="0" t="str">
        <f aca="false">IF($C691="Treatment",$P691,"")</f>
        <v/>
      </c>
      <c r="S691" s="0" t="str">
        <f aca="false">IF(AND($C691="Control",$K691=1),$L691,"")</f>
        <v/>
      </c>
      <c r="T691" s="0" t="str">
        <f aca="false">IF(AND($C691="Treatment",$K691=1),$L691,"")</f>
        <v/>
      </c>
    </row>
    <row r="692" customFormat="false" ht="15" hidden="false" customHeight="false" outlineLevel="0" collapsed="false">
      <c r="A692" s="0" t="s">
        <v>722</v>
      </c>
      <c r="B692" s="2" t="n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0" t="n">
        <v>1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P692" s="0" t="n">
        <v>73.2</v>
      </c>
      <c r="Q692" s="0" t="str">
        <f aca="false">IF($C692="Control",$P692,"")</f>
        <v/>
      </c>
      <c r="R692" s="3" t="n">
        <f aca="false">IF($C692="Treatment",$P692,"")</f>
        <v>73.2</v>
      </c>
      <c r="S692" s="0" t="str">
        <f aca="false">IF(AND($C692="Control",$K692=1),$L692,"")</f>
        <v/>
      </c>
      <c r="T692" s="0" t="str">
        <f aca="false">IF(AND($C692="Treatment",$K692=1),$L692,"")</f>
        <v/>
      </c>
    </row>
    <row r="693" customFormat="false" ht="15" hidden="false" customHeight="false" outlineLevel="0" collapsed="false">
      <c r="A693" s="0" t="s">
        <v>724</v>
      </c>
      <c r="B693" s="2" t="n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0" t="n">
        <v>1</v>
      </c>
      <c r="I693" s="0" t="n">
        <v>1</v>
      </c>
      <c r="J693" s="0" t="n">
        <v>1</v>
      </c>
      <c r="K693" s="0" t="n">
        <v>0</v>
      </c>
      <c r="L693" s="0" t="n">
        <v>0</v>
      </c>
      <c r="M693" s="0" t="n">
        <v>3</v>
      </c>
      <c r="N693" s="0" t="n">
        <v>0</v>
      </c>
      <c r="P693" s="0" t="n">
        <v>55.7</v>
      </c>
      <c r="Q693" s="0" t="str">
        <f aca="false">IF($C693="Control",$P693,"")</f>
        <v/>
      </c>
      <c r="R693" s="3" t="n">
        <f aca="false">IF($C693="Treatment",$P693,"")</f>
        <v>55.7</v>
      </c>
      <c r="S693" s="0" t="str">
        <f aca="false">IF(AND($C693="Control",$K693=1),$L693,"")</f>
        <v/>
      </c>
      <c r="T693" s="0" t="str">
        <f aca="false">IF(AND($C693="Treatment",$K693=1),$L693,"")</f>
        <v/>
      </c>
    </row>
    <row r="694" customFormat="false" ht="15" hidden="false" customHeight="false" outlineLevel="0" collapsed="false">
      <c r="A694" s="0" t="s">
        <v>725</v>
      </c>
      <c r="B694" s="2" t="n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0" t="n">
        <v>1</v>
      </c>
      <c r="I694" s="0" t="n">
        <v>1</v>
      </c>
      <c r="J694" s="0" t="n">
        <v>1</v>
      </c>
      <c r="K694" s="0" t="n">
        <v>0</v>
      </c>
      <c r="L694" s="0" t="n">
        <v>0</v>
      </c>
      <c r="M694" s="0" t="n">
        <v>0</v>
      </c>
      <c r="N694" s="0" t="n">
        <v>0</v>
      </c>
      <c r="P694" s="0" t="n">
        <v>82.8</v>
      </c>
      <c r="Q694" s="0" t="str">
        <f aca="false">IF($C694="Control",$P694,"")</f>
        <v/>
      </c>
      <c r="R694" s="3" t="n">
        <f aca="false">IF($C694="Treatment",$P694,"")</f>
        <v>82.8</v>
      </c>
      <c r="S694" s="0" t="str">
        <f aca="false">IF(AND($C694="Control",$K694=1),$L694,"")</f>
        <v/>
      </c>
      <c r="T694" s="0" t="str">
        <f aca="false">IF(AND($C694="Treatment",$K694=1),$L694,"")</f>
        <v/>
      </c>
    </row>
    <row r="695" customFormat="false" ht="15" hidden="false" customHeight="false" outlineLevel="0" collapsed="false">
      <c r="A695" s="0" t="s">
        <v>726</v>
      </c>
      <c r="B695" s="2" t="n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0" t="n">
        <v>1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  <c r="Q695" s="0" t="str">
        <f aca="false">IF($C695="Control",$P695,"")</f>
        <v/>
      </c>
      <c r="R695" s="3" t="n">
        <f aca="false">IF($C695="Treatment",$P695,"")</f>
        <v>0</v>
      </c>
      <c r="S695" s="0" t="str">
        <f aca="false">IF(AND($C695="Control",$K695=1),$L695,"")</f>
        <v/>
      </c>
      <c r="T695" s="0" t="str">
        <f aca="false">IF(AND($C695="Treatment",$K695=1),$L695,"")</f>
        <v/>
      </c>
    </row>
    <row r="696" customFormat="false" ht="15" hidden="false" customHeight="false" outlineLevel="0" collapsed="false">
      <c r="A696" s="0" t="s">
        <v>727</v>
      </c>
      <c r="B696" s="2" t="n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P696" s="0" t="n">
        <v>34.4</v>
      </c>
      <c r="Q696" s="0" t="str">
        <f aca="false">IF($C696="Control",$P696,"")</f>
        <v/>
      </c>
      <c r="R696" s="3" t="n">
        <f aca="false">IF($C696="Treatment",$P696,"")</f>
        <v>34.4</v>
      </c>
      <c r="S696" s="0" t="str">
        <f aca="false">IF(AND($C696="Control",$K696=1),$L696,"")</f>
        <v/>
      </c>
      <c r="T696" s="0" t="str">
        <f aca="false">IF(AND($C696="Treatment",$K696=1),$L696,"")</f>
        <v/>
      </c>
    </row>
    <row r="697" customFormat="false" ht="15" hidden="false" customHeight="false" outlineLevel="0" collapsed="false">
      <c r="A697" s="0" t="s">
        <v>728</v>
      </c>
      <c r="B697" s="2" t="n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0" t="n">
        <v>1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P697" s="0" t="n">
        <v>45.2</v>
      </c>
      <c r="Q697" s="0" t="str">
        <f aca="false">IF($C697="Control",$P697,"")</f>
        <v/>
      </c>
      <c r="R697" s="3" t="n">
        <f aca="false">IF($C697="Treatment",$P697,"")</f>
        <v>45.2</v>
      </c>
      <c r="S697" s="0" t="str">
        <f aca="false">IF(AND($C697="Control",$K697=1),$L697,"")</f>
        <v/>
      </c>
      <c r="T697" s="0" t="str">
        <f aca="false">IF(AND($C697="Treatment",$K697=1),$L697,"")</f>
        <v/>
      </c>
    </row>
    <row r="698" customFormat="false" ht="15" hidden="false" customHeight="false" outlineLevel="0" collapsed="false">
      <c r="A698" s="0" t="s">
        <v>729</v>
      </c>
      <c r="B698" s="2" t="n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0" t="n">
        <v>1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P698" s="0" t="n">
        <v>71.6</v>
      </c>
      <c r="Q698" s="0" t="str">
        <f aca="false">IF($C698="Control",$P698,"")</f>
        <v/>
      </c>
      <c r="R698" s="3" t="n">
        <f aca="false">IF($C698="Treatment",$P698,"")</f>
        <v>71.6</v>
      </c>
      <c r="S698" s="0" t="str">
        <f aca="false">IF(AND($C698="Control",$K698=1),$L698,"")</f>
        <v/>
      </c>
      <c r="T698" s="0" t="str">
        <f aca="false">IF(AND($C698="Treatment",$K698=1),$L698,"")</f>
        <v/>
      </c>
    </row>
    <row r="699" customFormat="false" ht="15" hidden="false" customHeight="false" outlineLevel="0" collapsed="false">
      <c r="A699" s="0" t="s">
        <v>730</v>
      </c>
      <c r="B699" s="2" t="n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0" t="n">
        <v>1</v>
      </c>
      <c r="I699" s="0" t="n">
        <v>1</v>
      </c>
      <c r="J699" s="0" t="n">
        <v>1</v>
      </c>
      <c r="K699" s="0" t="n">
        <v>0</v>
      </c>
      <c r="L699" s="0" t="n">
        <v>0</v>
      </c>
      <c r="M699" s="0" t="n">
        <v>0</v>
      </c>
      <c r="N699" s="0" t="n">
        <v>0</v>
      </c>
      <c r="P699" s="0" t="n">
        <v>69.1</v>
      </c>
      <c r="Q699" s="0" t="str">
        <f aca="false">IF($C699="Control",$P699,"")</f>
        <v/>
      </c>
      <c r="R699" s="3" t="n">
        <f aca="false">IF($C699="Treatment",$P699,"")</f>
        <v>69.1</v>
      </c>
      <c r="S699" s="0" t="str">
        <f aca="false">IF(AND($C699="Control",$K699=1),$L699,"")</f>
        <v/>
      </c>
      <c r="T699" s="0" t="str">
        <f aca="false">IF(AND($C699="Treatment",$K699=1),$L699,"")</f>
        <v/>
      </c>
    </row>
    <row r="700" customFormat="false" ht="15" hidden="false" customHeight="false" outlineLevel="0" collapsed="false">
      <c r="A700" s="0" t="s">
        <v>731</v>
      </c>
      <c r="B700" s="2" t="n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0</v>
      </c>
      <c r="P700" s="0" t="n">
        <v>37.7</v>
      </c>
      <c r="Q700" s="0" t="str">
        <f aca="false">IF($C700="Control",$P700,"")</f>
        <v/>
      </c>
      <c r="R700" s="3" t="n">
        <f aca="false">IF($C700="Treatment",$P700,"")</f>
        <v>37.7</v>
      </c>
      <c r="S700" s="0" t="str">
        <f aca="false">IF(AND($C700="Control",$K700=1),$L700,"")</f>
        <v/>
      </c>
      <c r="T700" s="0" t="str">
        <f aca="false">IF(AND($C700="Treatment",$K700=1),$L700,"")</f>
        <v/>
      </c>
    </row>
    <row r="701" customFormat="false" ht="15" hidden="false" customHeight="false" outlineLevel="0" collapsed="false">
      <c r="A701" s="0" t="s">
        <v>732</v>
      </c>
      <c r="B701" s="2" t="n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0" t="n">
        <v>1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0</v>
      </c>
      <c r="P701" s="0" t="n">
        <v>60.8</v>
      </c>
      <c r="Q701" s="0" t="str">
        <f aca="false">IF($C701="Control",$P701,"")</f>
        <v/>
      </c>
      <c r="R701" s="3" t="n">
        <f aca="false">IF($C701="Treatment",$P701,"")</f>
        <v>60.8</v>
      </c>
      <c r="S701" s="0" t="str">
        <f aca="false">IF(AND($C701="Control",$K701=1),$L701,"")</f>
        <v/>
      </c>
      <c r="T701" s="0" t="str">
        <f aca="false">IF(AND($C701="Treatment",$K701=1),$L701,"")</f>
        <v/>
      </c>
    </row>
    <row r="702" customFormat="false" ht="15" hidden="false" customHeight="false" outlineLevel="0" collapsed="false">
      <c r="A702" s="0" t="s">
        <v>733</v>
      </c>
      <c r="B702" s="2" t="n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0" t="n">
        <v>1</v>
      </c>
      <c r="I702" s="0" t="n">
        <v>1</v>
      </c>
      <c r="J702" s="0" t="n">
        <v>1</v>
      </c>
      <c r="K702" s="0" t="n">
        <v>1</v>
      </c>
      <c r="L702" s="0" t="n">
        <v>444.13</v>
      </c>
      <c r="M702" s="0" t="n">
        <v>0</v>
      </c>
      <c r="N702" s="0" t="n">
        <v>0</v>
      </c>
      <c r="O702" s="0" t="n">
        <v>10</v>
      </c>
      <c r="P702" s="0" t="n">
        <v>80.7</v>
      </c>
      <c r="Q702" s="0" t="str">
        <f aca="false">IF($C702="Control",$P702,"")</f>
        <v/>
      </c>
      <c r="R702" s="3" t="n">
        <f aca="false">IF($C702="Treatment",$P702,"")</f>
        <v>80.7</v>
      </c>
      <c r="S702" s="0" t="str">
        <f aca="false">IF(AND($C702="Control",$K702=1),$L702,"")</f>
        <v/>
      </c>
      <c r="T702" s="3" t="n">
        <f aca="false">IF(AND($C702="Treatment",$K702=1),$L702,"")</f>
        <v>444.13</v>
      </c>
    </row>
    <row r="703" customFormat="false" ht="15" hidden="false" customHeight="false" outlineLevel="0" collapsed="false">
      <c r="A703" s="0" t="s">
        <v>734</v>
      </c>
      <c r="B703" s="2" t="n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0" t="n">
        <v>1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P703" s="0" t="n">
        <v>69.2</v>
      </c>
      <c r="Q703" s="0" t="str">
        <f aca="false">IF($C703="Control",$P703,"")</f>
        <v/>
      </c>
      <c r="R703" s="3" t="n">
        <f aca="false">IF($C703="Treatment",$P703,"")</f>
        <v>69.2</v>
      </c>
      <c r="S703" s="0" t="str">
        <f aca="false">IF(AND($C703="Control",$K703=1),$L703,"")</f>
        <v/>
      </c>
      <c r="T703" s="0" t="str">
        <f aca="false">IF(AND($C703="Treatment",$K703=1),$L703,"")</f>
        <v/>
      </c>
    </row>
    <row r="704" customFormat="false" ht="15" hidden="false" customHeight="false" outlineLevel="0" collapsed="false">
      <c r="A704" s="0" t="s">
        <v>735</v>
      </c>
      <c r="B704" s="2" t="n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3</v>
      </c>
      <c r="N704" s="0" t="n">
        <v>0</v>
      </c>
      <c r="P704" s="0" t="n">
        <v>55</v>
      </c>
      <c r="Q704" s="0" t="str">
        <f aca="false">IF($C704="Control",$P704,"")</f>
        <v/>
      </c>
      <c r="R704" s="3" t="n">
        <f aca="false">IF($C704="Treatment",$P704,"")</f>
        <v>55</v>
      </c>
      <c r="S704" s="0" t="str">
        <f aca="false">IF(AND($C704="Control",$K704=1),$L704,"")</f>
        <v/>
      </c>
      <c r="T704" s="0" t="str">
        <f aca="false">IF(AND($C704="Treatment",$K704=1),$L704,"")</f>
        <v/>
      </c>
    </row>
    <row r="705" customFormat="false" ht="15" hidden="false" customHeight="false" outlineLevel="0" collapsed="false">
      <c r="A705" s="0" t="s">
        <v>736</v>
      </c>
      <c r="B705" s="2" t="n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0</v>
      </c>
      <c r="P705" s="0" t="n">
        <v>73.6</v>
      </c>
      <c r="Q705" s="0" t="str">
        <f aca="false">IF($C705="Control",$P705,"")</f>
        <v/>
      </c>
      <c r="R705" s="3" t="n">
        <f aca="false">IF($C705="Treatment",$P705,"")</f>
        <v>73.6</v>
      </c>
      <c r="S705" s="0" t="str">
        <f aca="false">IF(AND($C705="Control",$K705=1),$L705,"")</f>
        <v/>
      </c>
      <c r="T705" s="0" t="str">
        <f aca="false">IF(AND($C705="Treatment",$K705=1),$L705,"")</f>
        <v/>
      </c>
    </row>
    <row r="706" customFormat="false" ht="15" hidden="false" customHeight="false" outlineLevel="0" collapsed="false">
      <c r="A706" s="0" t="s">
        <v>737</v>
      </c>
      <c r="B706" s="2" t="n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0" t="n">
        <v>1</v>
      </c>
      <c r="I706" s="0" t="n">
        <v>1</v>
      </c>
      <c r="J706" s="0" t="n">
        <v>1</v>
      </c>
      <c r="K706" s="0" t="n">
        <v>0</v>
      </c>
      <c r="L706" s="0" t="n">
        <v>0</v>
      </c>
      <c r="M706" s="0" t="n">
        <v>1</v>
      </c>
      <c r="N706" s="0" t="n">
        <v>0</v>
      </c>
      <c r="P706" s="0" t="n">
        <v>47.3</v>
      </c>
      <c r="Q706" s="0" t="str">
        <f aca="false">IF($C706="Control",$P706,"")</f>
        <v/>
      </c>
      <c r="R706" s="3" t="n">
        <f aca="false">IF($C706="Treatment",$P706,"")</f>
        <v>47.3</v>
      </c>
      <c r="S706" s="0" t="str">
        <f aca="false">IF(AND($C706="Control",$K706=1),$L706,"")</f>
        <v/>
      </c>
      <c r="T706" s="0" t="str">
        <f aca="false">IF(AND($C706="Treatment",$K706=1),$L706,"")</f>
        <v/>
      </c>
    </row>
    <row r="707" customFormat="false" ht="15" hidden="false" customHeight="false" outlineLevel="0" collapsed="false">
      <c r="A707" s="0" t="s">
        <v>738</v>
      </c>
      <c r="B707" s="2" t="n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P707" s="0" t="n">
        <v>43.6</v>
      </c>
      <c r="Q707" s="0" t="str">
        <f aca="false">IF($C707="Control",$P707,"")</f>
        <v/>
      </c>
      <c r="R707" s="3" t="n">
        <f aca="false">IF($C707="Treatment",$P707,"")</f>
        <v>43.6</v>
      </c>
      <c r="S707" s="0" t="str">
        <f aca="false">IF(AND($C707="Control",$K707=1),$L707,"")</f>
        <v/>
      </c>
      <c r="T707" s="0" t="str">
        <f aca="false">IF(AND($C707="Treatment",$K707=1),$L707,"")</f>
        <v/>
      </c>
    </row>
    <row r="708" customFormat="false" ht="15" hidden="false" customHeight="false" outlineLevel="0" collapsed="false">
      <c r="A708" s="0" t="s">
        <v>739</v>
      </c>
      <c r="B708" s="2" t="n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0" t="n">
        <v>1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  <c r="Q708" s="0" t="str">
        <f aca="false">IF($C708="Control",$P708,"")</f>
        <v/>
      </c>
      <c r="R708" s="3" t="n">
        <f aca="false">IF($C708="Treatment",$P708,"")</f>
        <v>0</v>
      </c>
      <c r="S708" s="0" t="str">
        <f aca="false">IF(AND($C708="Control",$K708=1),$L708,"")</f>
        <v/>
      </c>
      <c r="T708" s="0" t="str">
        <f aca="false">IF(AND($C708="Treatment",$K708=1),$L708,"")</f>
        <v/>
      </c>
    </row>
    <row r="709" customFormat="false" ht="15" hidden="false" customHeight="false" outlineLevel="0" collapsed="false">
      <c r="A709" s="0" t="s">
        <v>740</v>
      </c>
      <c r="B709" s="2" t="n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P709" s="0" t="n">
        <v>55.2</v>
      </c>
      <c r="Q709" s="0" t="str">
        <f aca="false">IF($C709="Control",$P709,"")</f>
        <v/>
      </c>
      <c r="R709" s="3" t="n">
        <f aca="false">IF($C709="Treatment",$P709,"")</f>
        <v>55.2</v>
      </c>
      <c r="S709" s="0" t="str">
        <f aca="false">IF(AND($C709="Control",$K709=1),$L709,"")</f>
        <v/>
      </c>
      <c r="T709" s="0" t="str">
        <f aca="false">IF(AND($C709="Treatment",$K709=1),$L709,"")</f>
        <v/>
      </c>
    </row>
    <row r="710" customFormat="false" ht="15" hidden="false" customHeight="false" outlineLevel="0" collapsed="false">
      <c r="A710" s="0" t="s">
        <v>741</v>
      </c>
      <c r="B710" s="2" t="n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0" t="n">
        <v>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P710" s="0" t="n">
        <v>49.4</v>
      </c>
      <c r="Q710" s="0" t="str">
        <f aca="false">IF($C710="Control",$P710,"")</f>
        <v/>
      </c>
      <c r="R710" s="3" t="n">
        <f aca="false">IF($C710="Treatment",$P710,"")</f>
        <v>49.4</v>
      </c>
      <c r="S710" s="0" t="str">
        <f aca="false">IF(AND($C710="Control",$K710=1),$L710,"")</f>
        <v/>
      </c>
      <c r="T710" s="0" t="str">
        <f aca="false">IF(AND($C710="Treatment",$K710=1),$L710,"")</f>
        <v/>
      </c>
    </row>
    <row r="711" customFormat="false" ht="15" hidden="false" customHeight="false" outlineLevel="0" collapsed="false">
      <c r="A711" s="0" t="s">
        <v>742</v>
      </c>
      <c r="B711" s="2" t="n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0" t="n">
        <v>1</v>
      </c>
      <c r="I711" s="0" t="n">
        <v>1</v>
      </c>
      <c r="J711" s="0" t="n">
        <v>1</v>
      </c>
      <c r="K711" s="0" t="n">
        <v>0</v>
      </c>
      <c r="L711" s="0" t="n">
        <v>0</v>
      </c>
      <c r="M711" s="0" t="n">
        <v>1</v>
      </c>
      <c r="N711" s="0" t="n">
        <v>0</v>
      </c>
      <c r="P711" s="0" t="n">
        <v>60.1</v>
      </c>
      <c r="Q711" s="0" t="str">
        <f aca="false">IF($C711="Control",$P711,"")</f>
        <v/>
      </c>
      <c r="R711" s="3" t="n">
        <f aca="false">IF($C711="Treatment",$P711,"")</f>
        <v>60.1</v>
      </c>
      <c r="S711" s="0" t="str">
        <f aca="false">IF(AND($C711="Control",$K711=1),$L711,"")</f>
        <v/>
      </c>
      <c r="T711" s="0" t="str">
        <f aca="false">IF(AND($C711="Treatment",$K711=1),$L711,"")</f>
        <v/>
      </c>
    </row>
    <row r="712" customFormat="false" ht="15" hidden="false" customHeight="false" outlineLevel="0" collapsed="false">
      <c r="A712" s="0" t="s">
        <v>743</v>
      </c>
      <c r="B712" s="2" t="n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0" t="n">
        <v>1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P712" s="0" t="n">
        <v>55.9</v>
      </c>
      <c r="Q712" s="0" t="str">
        <f aca="false">IF($C712="Control",$P712,"")</f>
        <v/>
      </c>
      <c r="R712" s="3" t="n">
        <f aca="false">IF($C712="Treatment",$P712,"")</f>
        <v>55.9</v>
      </c>
      <c r="S712" s="0" t="str">
        <f aca="false">IF(AND($C712="Control",$K712=1),$L712,"")</f>
        <v/>
      </c>
      <c r="T712" s="0" t="str">
        <f aca="false">IF(AND($C712="Treatment",$K712=1),$L712,"")</f>
        <v/>
      </c>
    </row>
    <row r="713" customFormat="false" ht="15" hidden="false" customHeight="false" outlineLevel="0" collapsed="false">
      <c r="A713" s="0" t="s">
        <v>744</v>
      </c>
      <c r="B713" s="2" t="n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0" t="n">
        <v>1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P713" s="0" t="n">
        <v>51.5</v>
      </c>
      <c r="Q713" s="0" t="str">
        <f aca="false">IF($C713="Control",$P713,"")</f>
        <v/>
      </c>
      <c r="R713" s="3" t="n">
        <f aca="false">IF($C713="Treatment",$P713,"")</f>
        <v>51.5</v>
      </c>
      <c r="S713" s="0" t="str">
        <f aca="false">IF(AND($C713="Control",$K713=1),$L713,"")</f>
        <v/>
      </c>
      <c r="T713" s="0" t="str">
        <f aca="false">IF(AND($C713="Treatment",$K713=1),$L713,"")</f>
        <v/>
      </c>
    </row>
    <row r="714" customFormat="false" ht="15" hidden="false" customHeight="false" outlineLevel="0" collapsed="false">
      <c r="A714" s="0" t="s">
        <v>745</v>
      </c>
      <c r="B714" s="2" t="n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0" t="n">
        <v>1</v>
      </c>
      <c r="I714" s="0" t="n">
        <v>1</v>
      </c>
      <c r="J714" s="0" t="n">
        <v>1</v>
      </c>
      <c r="K714" s="0" t="n">
        <v>1</v>
      </c>
      <c r="L714" s="0" t="n">
        <v>516.67</v>
      </c>
      <c r="M714" s="0" t="n">
        <v>0</v>
      </c>
      <c r="N714" s="0" t="n">
        <v>0</v>
      </c>
      <c r="O714" s="0" t="n">
        <v>11</v>
      </c>
      <c r="P714" s="0" t="n">
        <v>57.9</v>
      </c>
      <c r="Q714" s="0" t="str">
        <f aca="false">IF($C714="Control",$P714,"")</f>
        <v/>
      </c>
      <c r="R714" s="3" t="n">
        <f aca="false">IF($C714="Treatment",$P714,"")</f>
        <v>57.9</v>
      </c>
      <c r="S714" s="0" t="str">
        <f aca="false">IF(AND($C714="Control",$K714=1),$L714,"")</f>
        <v/>
      </c>
      <c r="T714" s="3" t="n">
        <f aca="false">IF(AND($C714="Treatment",$K714=1),$L714,"")</f>
        <v>516.67</v>
      </c>
    </row>
    <row r="715" customFormat="false" ht="15" hidden="false" customHeight="false" outlineLevel="0" collapsed="false">
      <c r="A715" s="0" t="s">
        <v>746</v>
      </c>
      <c r="B715" s="2" t="n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0" t="n">
        <v>1</v>
      </c>
      <c r="I715" s="0" t="n">
        <v>1</v>
      </c>
      <c r="J715" s="0" t="n">
        <v>1</v>
      </c>
      <c r="K715" s="0" t="n">
        <v>1</v>
      </c>
      <c r="L715" s="0" t="n">
        <v>277.18</v>
      </c>
      <c r="M715" s="0" t="n">
        <v>2</v>
      </c>
      <c r="N715" s="0" t="n">
        <v>0</v>
      </c>
      <c r="O715" s="0" t="n">
        <v>8</v>
      </c>
      <c r="P715" s="0" t="n">
        <v>59.2</v>
      </c>
      <c r="Q715" s="0" t="str">
        <f aca="false">IF($C715="Control",$P715,"")</f>
        <v/>
      </c>
      <c r="R715" s="3" t="n">
        <f aca="false">IF($C715="Treatment",$P715,"")</f>
        <v>59.2</v>
      </c>
      <c r="S715" s="0" t="str">
        <f aca="false">IF(AND($C715="Control",$K715=1),$L715,"")</f>
        <v/>
      </c>
      <c r="T715" s="3" t="n">
        <f aca="false">IF(AND($C715="Treatment",$K715=1),$L715,"")</f>
        <v>277.18</v>
      </c>
    </row>
    <row r="716" customFormat="false" ht="15" hidden="false" customHeight="false" outlineLevel="0" collapsed="false">
      <c r="A716" s="0" t="s">
        <v>747</v>
      </c>
      <c r="B716" s="2" t="n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P716" s="0" t="n">
        <v>64.2</v>
      </c>
      <c r="Q716" s="0" t="str">
        <f aca="false">IF($C716="Control",$P716,"")</f>
        <v/>
      </c>
      <c r="R716" s="3" t="n">
        <f aca="false">IF($C716="Treatment",$P716,"")</f>
        <v>64.2</v>
      </c>
      <c r="S716" s="0" t="str">
        <f aca="false">IF(AND($C716="Control",$K716=1),$L716,"")</f>
        <v/>
      </c>
      <c r="T716" s="0" t="str">
        <f aca="false">IF(AND($C716="Treatment",$K716=1),$L716,"")</f>
        <v/>
      </c>
    </row>
    <row r="717" customFormat="false" ht="15" hidden="false" customHeight="false" outlineLevel="0" collapsed="false">
      <c r="A717" s="0" t="s">
        <v>748</v>
      </c>
      <c r="B717" s="2" t="n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0" t="n">
        <v>1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P717" s="0" t="n">
        <v>68.8</v>
      </c>
      <c r="Q717" s="0" t="str">
        <f aca="false">IF($C717="Control",$P717,"")</f>
        <v/>
      </c>
      <c r="R717" s="3" t="n">
        <f aca="false">IF($C717="Treatment",$P717,"")</f>
        <v>68.8</v>
      </c>
      <c r="S717" s="0" t="str">
        <f aca="false">IF(AND($C717="Control",$K717=1),$L717,"")</f>
        <v/>
      </c>
      <c r="T717" s="0" t="str">
        <f aca="false">IF(AND($C717="Treatment",$K717=1),$L717,"")</f>
        <v/>
      </c>
    </row>
    <row r="718" customFormat="false" ht="15" hidden="false" customHeight="false" outlineLevel="0" collapsed="false">
      <c r="A718" s="0" t="s">
        <v>749</v>
      </c>
      <c r="B718" s="2" t="n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0" t="n">
        <v>1</v>
      </c>
      <c r="I718" s="0" t="n">
        <v>1</v>
      </c>
      <c r="J718" s="0" t="n">
        <v>1</v>
      </c>
      <c r="K718" s="0" t="n">
        <v>0</v>
      </c>
      <c r="L718" s="0" t="n">
        <v>0</v>
      </c>
      <c r="M718" s="0" t="n">
        <v>0</v>
      </c>
      <c r="N718" s="0" t="n">
        <v>0</v>
      </c>
      <c r="P718" s="0" t="n">
        <v>77.9</v>
      </c>
      <c r="Q718" s="0" t="str">
        <f aca="false">IF($C718="Control",$P718,"")</f>
        <v/>
      </c>
      <c r="R718" s="3" t="n">
        <f aca="false">IF($C718="Treatment",$P718,"")</f>
        <v>77.9</v>
      </c>
      <c r="S718" s="0" t="str">
        <f aca="false">IF(AND($C718="Control",$K718=1),$L718,"")</f>
        <v/>
      </c>
      <c r="T718" s="0" t="str">
        <f aca="false">IF(AND($C718="Treatment",$K718=1),$L718,"")</f>
        <v/>
      </c>
    </row>
    <row r="719" customFormat="false" ht="15" hidden="false" customHeight="false" outlineLevel="0" collapsed="false">
      <c r="A719" s="0" t="s">
        <v>750</v>
      </c>
      <c r="B719" s="2" t="n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P719" s="0" t="n">
        <v>92.1</v>
      </c>
      <c r="Q719" s="0" t="str">
        <f aca="false">IF($C719="Control",$P719,"")</f>
        <v/>
      </c>
      <c r="R719" s="3" t="n">
        <f aca="false">IF($C719="Treatment",$P719,"")</f>
        <v>92.1</v>
      </c>
      <c r="S719" s="0" t="str">
        <f aca="false">IF(AND($C719="Control",$K719=1),$L719,"")</f>
        <v/>
      </c>
      <c r="T719" s="0" t="str">
        <f aca="false">IF(AND($C719="Treatment",$K719=1),$L719,"")</f>
        <v/>
      </c>
    </row>
    <row r="720" customFormat="false" ht="15" hidden="false" customHeight="false" outlineLevel="0" collapsed="false">
      <c r="A720" s="0" t="s">
        <v>751</v>
      </c>
      <c r="B720" s="2" t="n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P720" s="0" t="n">
        <v>63.6</v>
      </c>
      <c r="Q720" s="0" t="str">
        <f aca="false">IF($C720="Control",$P720,"")</f>
        <v/>
      </c>
      <c r="R720" s="3" t="n">
        <f aca="false">IF($C720="Treatment",$P720,"")</f>
        <v>63.6</v>
      </c>
      <c r="S720" s="0" t="str">
        <f aca="false">IF(AND($C720="Control",$K720=1),$L720,"")</f>
        <v/>
      </c>
      <c r="T720" s="0" t="str">
        <f aca="false">IF(AND($C720="Treatment",$K720=1),$L720,"")</f>
        <v/>
      </c>
    </row>
    <row r="721" customFormat="false" ht="15" hidden="false" customHeight="false" outlineLevel="0" collapsed="false">
      <c r="A721" s="0" t="s">
        <v>752</v>
      </c>
      <c r="B721" s="2" t="n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2</v>
      </c>
      <c r="N721" s="0" t="n">
        <v>0</v>
      </c>
      <c r="P721" s="0" t="n">
        <v>61.6</v>
      </c>
      <c r="Q721" s="0" t="str">
        <f aca="false">IF($C721="Control",$P721,"")</f>
        <v/>
      </c>
      <c r="R721" s="3" t="n">
        <f aca="false">IF($C721="Treatment",$P721,"")</f>
        <v>61.6</v>
      </c>
      <c r="S721" s="0" t="str">
        <f aca="false">IF(AND($C721="Control",$K721=1),$L721,"")</f>
        <v/>
      </c>
      <c r="T721" s="0" t="str">
        <f aca="false">IF(AND($C721="Treatment",$K721=1),$L721,"")</f>
        <v/>
      </c>
    </row>
    <row r="722" customFormat="false" ht="15" hidden="false" customHeight="false" outlineLevel="0" collapsed="false">
      <c r="A722" s="0" t="s">
        <v>753</v>
      </c>
      <c r="B722" s="2" t="n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0" t="n">
        <v>1</v>
      </c>
      <c r="I722" s="0" t="n">
        <v>1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P722" s="0" t="n">
        <v>82.3</v>
      </c>
      <c r="Q722" s="0" t="str">
        <f aca="false">IF($C722="Control",$P722,"")</f>
        <v/>
      </c>
      <c r="R722" s="3" t="n">
        <f aca="false">IF($C722="Treatment",$P722,"")</f>
        <v>82.3</v>
      </c>
      <c r="S722" s="0" t="str">
        <f aca="false">IF(AND($C722="Control",$K722=1),$L722,"")</f>
        <v/>
      </c>
      <c r="T722" s="0" t="str">
        <f aca="false">IF(AND($C722="Treatment",$K722=1),$L722,"")</f>
        <v/>
      </c>
    </row>
    <row r="723" customFormat="false" ht="15" hidden="false" customHeight="false" outlineLevel="0" collapsed="false">
      <c r="A723" s="0" t="s">
        <v>754</v>
      </c>
      <c r="B723" s="2" t="n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0" t="n">
        <v>1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P723" s="0" t="n">
        <v>79.3</v>
      </c>
      <c r="Q723" s="0" t="str">
        <f aca="false">IF($C723="Control",$P723,"")</f>
        <v/>
      </c>
      <c r="R723" s="3" t="n">
        <f aca="false">IF($C723="Treatment",$P723,"")</f>
        <v>79.3</v>
      </c>
      <c r="S723" s="0" t="str">
        <f aca="false">IF(AND($C723="Control",$K723=1),$L723,"")</f>
        <v/>
      </c>
      <c r="T723" s="0" t="str">
        <f aca="false">IF(AND($C723="Treatment",$K723=1),$L723,"")</f>
        <v/>
      </c>
    </row>
    <row r="724" customFormat="false" ht="15" hidden="false" customHeight="false" outlineLevel="0" collapsed="false">
      <c r="A724" s="0" t="s">
        <v>755</v>
      </c>
      <c r="B724" s="2" t="n">
        <v>45729</v>
      </c>
      <c r="C724" s="3" t="s">
        <v>723</v>
      </c>
      <c r="D724" s="3" t="s">
        <v>32</v>
      </c>
      <c r="E724" s="3" t="s">
        <v>24</v>
      </c>
      <c r="F724" s="3" t="s">
        <v>1470</v>
      </c>
      <c r="G724" s="3" t="s">
        <v>26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P724" s="0" t="n">
        <v>57.7</v>
      </c>
      <c r="Q724" s="0" t="str">
        <f aca="false">IF($C724="Control",$P724,"")</f>
        <v/>
      </c>
      <c r="R724" s="3" t="n">
        <f aca="false">IF($C724="Treatment",$P724,"")</f>
        <v>57.7</v>
      </c>
      <c r="S724" s="0" t="str">
        <f aca="false">IF(AND($C724="Control",$K724=1),$L724,"")</f>
        <v/>
      </c>
      <c r="T724" s="0" t="str">
        <f aca="false">IF(AND($C724="Treatment",$K724=1),$L724,"")</f>
        <v/>
      </c>
    </row>
    <row r="725" customFormat="false" ht="15" hidden="false" customHeight="false" outlineLevel="0" collapsed="false">
      <c r="A725" s="0" t="s">
        <v>756</v>
      </c>
      <c r="B725" s="2" t="n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0" t="n">
        <v>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P725" s="0" t="n">
        <v>63.1</v>
      </c>
      <c r="Q725" s="0" t="str">
        <f aca="false">IF($C725="Control",$P725,"")</f>
        <v/>
      </c>
      <c r="R725" s="3" t="n">
        <f aca="false">IF($C725="Treatment",$P725,"")</f>
        <v>63.1</v>
      </c>
      <c r="S725" s="0" t="str">
        <f aca="false">IF(AND($C725="Control",$K725=1),$L725,"")</f>
        <v/>
      </c>
      <c r="T725" s="0" t="str">
        <f aca="false">IF(AND($C725="Treatment",$K725=1),$L725,"")</f>
        <v/>
      </c>
    </row>
    <row r="726" customFormat="false" ht="15" hidden="false" customHeight="false" outlineLevel="0" collapsed="false">
      <c r="A726" s="0" t="s">
        <v>757</v>
      </c>
      <c r="B726" s="2" t="n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P726" s="0" t="n">
        <v>72.3</v>
      </c>
      <c r="Q726" s="0" t="str">
        <f aca="false">IF($C726="Control",$P726,"")</f>
        <v/>
      </c>
      <c r="R726" s="3" t="n">
        <f aca="false">IF($C726="Treatment",$P726,"")</f>
        <v>72.3</v>
      </c>
      <c r="S726" s="0" t="str">
        <f aca="false">IF(AND($C726="Control",$K726=1),$L726,"")</f>
        <v/>
      </c>
      <c r="T726" s="0" t="str">
        <f aca="false">IF(AND($C726="Treatment",$K726=1),$L726,"")</f>
        <v/>
      </c>
    </row>
    <row r="727" customFormat="false" ht="15" hidden="false" customHeight="false" outlineLevel="0" collapsed="false">
      <c r="A727" s="0" t="s">
        <v>758</v>
      </c>
      <c r="B727" s="2" t="n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0" t="n">
        <v>1</v>
      </c>
      <c r="I727" s="0" t="n">
        <v>1</v>
      </c>
      <c r="J727" s="0" t="n">
        <v>1</v>
      </c>
      <c r="K727" s="0" t="n">
        <v>0</v>
      </c>
      <c r="L727" s="0" t="n">
        <v>0</v>
      </c>
      <c r="M727" s="0" t="n">
        <v>0</v>
      </c>
      <c r="N727" s="0" t="n">
        <v>0</v>
      </c>
      <c r="P727" s="0" t="n">
        <v>78</v>
      </c>
      <c r="Q727" s="0" t="str">
        <f aca="false">IF($C727="Control",$P727,"")</f>
        <v/>
      </c>
      <c r="R727" s="3" t="n">
        <f aca="false">IF($C727="Treatment",$P727,"")</f>
        <v>78</v>
      </c>
      <c r="S727" s="0" t="str">
        <f aca="false">IF(AND($C727="Control",$K727=1),$L727,"")</f>
        <v/>
      </c>
      <c r="T727" s="0" t="str">
        <f aca="false">IF(AND($C727="Treatment",$K727=1),$L727,"")</f>
        <v/>
      </c>
    </row>
    <row r="728" customFormat="false" ht="15" hidden="false" customHeight="false" outlineLevel="0" collapsed="false">
      <c r="A728" s="0" t="s">
        <v>759</v>
      </c>
      <c r="B728" s="2" t="n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0" t="n">
        <v>1</v>
      </c>
      <c r="I728" s="0" t="n">
        <v>1</v>
      </c>
      <c r="J728" s="0" t="n">
        <v>0</v>
      </c>
      <c r="K728" s="0" t="n">
        <v>0</v>
      </c>
      <c r="L728" s="0" t="n">
        <v>0</v>
      </c>
      <c r="M728" s="0" t="n">
        <v>2</v>
      </c>
      <c r="N728" s="0" t="n">
        <v>0</v>
      </c>
      <c r="P728" s="0" t="n">
        <v>59.1</v>
      </c>
      <c r="Q728" s="0" t="str">
        <f aca="false">IF($C728="Control",$P728,"")</f>
        <v/>
      </c>
      <c r="R728" s="3" t="n">
        <f aca="false">IF($C728="Treatment",$P728,"")</f>
        <v>59.1</v>
      </c>
      <c r="S728" s="0" t="str">
        <f aca="false">IF(AND($C728="Control",$K728=1),$L728,"")</f>
        <v/>
      </c>
      <c r="T728" s="0" t="str">
        <f aca="false">IF(AND($C728="Treatment",$K728=1),$L728,"")</f>
        <v/>
      </c>
    </row>
    <row r="729" customFormat="false" ht="15" hidden="false" customHeight="false" outlineLevel="0" collapsed="false">
      <c r="A729" s="0" t="s">
        <v>760</v>
      </c>
      <c r="B729" s="2" t="n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0" t="n">
        <v>1</v>
      </c>
      <c r="I729" s="0" t="n">
        <v>1</v>
      </c>
      <c r="J729" s="0" t="n">
        <v>1</v>
      </c>
      <c r="K729" s="0" t="n">
        <v>1</v>
      </c>
      <c r="L729" s="0" t="n">
        <v>604.09</v>
      </c>
      <c r="M729" s="0" t="n">
        <v>0</v>
      </c>
      <c r="N729" s="0" t="n">
        <v>0</v>
      </c>
      <c r="O729" s="0" t="n">
        <v>7</v>
      </c>
      <c r="P729" s="0" t="n">
        <v>47.1</v>
      </c>
      <c r="Q729" s="0" t="str">
        <f aca="false">IF($C729="Control",$P729,"")</f>
        <v/>
      </c>
      <c r="R729" s="3" t="n">
        <f aca="false">IF($C729="Treatment",$P729,"")</f>
        <v>47.1</v>
      </c>
      <c r="S729" s="0" t="str">
        <f aca="false">IF(AND($C729="Control",$K729=1),$L729,"")</f>
        <v/>
      </c>
      <c r="T729" s="3" t="n">
        <f aca="false">IF(AND($C729="Treatment",$K729=1),$L729,"")</f>
        <v>604.09</v>
      </c>
    </row>
    <row r="730" customFormat="false" ht="15" hidden="false" customHeight="false" outlineLevel="0" collapsed="false">
      <c r="A730" s="0" t="s">
        <v>761</v>
      </c>
      <c r="B730" s="2" t="n">
        <v>45692</v>
      </c>
      <c r="C730" s="3" t="s">
        <v>723</v>
      </c>
      <c r="D730" s="3" t="s">
        <v>32</v>
      </c>
      <c r="E730" s="3" t="s">
        <v>24</v>
      </c>
      <c r="F730" s="3" t="s">
        <v>1470</v>
      </c>
      <c r="G730" s="3" t="s">
        <v>30</v>
      </c>
      <c r="H730" s="0" t="n">
        <v>1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P730" s="0" t="n">
        <v>64.9</v>
      </c>
      <c r="Q730" s="0" t="str">
        <f aca="false">IF($C730="Control",$P730,"")</f>
        <v/>
      </c>
      <c r="R730" s="3" t="n">
        <f aca="false">IF($C730="Treatment",$P730,"")</f>
        <v>64.9</v>
      </c>
      <c r="S730" s="0" t="str">
        <f aca="false">IF(AND($C730="Control",$K730=1),$L730,"")</f>
        <v/>
      </c>
      <c r="T730" s="0" t="str">
        <f aca="false">IF(AND($C730="Treatment",$K730=1),$L730,"")</f>
        <v/>
      </c>
    </row>
    <row r="731" customFormat="false" ht="15" hidden="false" customHeight="false" outlineLevel="0" collapsed="false">
      <c r="A731" s="0" t="s">
        <v>762</v>
      </c>
      <c r="B731" s="2" t="n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P731" s="0" t="n">
        <v>67.3</v>
      </c>
      <c r="Q731" s="0" t="str">
        <f aca="false">IF($C731="Control",$P731,"")</f>
        <v/>
      </c>
      <c r="R731" s="3" t="n">
        <f aca="false">IF($C731="Treatment",$P731,"")</f>
        <v>67.3</v>
      </c>
      <c r="S731" s="0" t="str">
        <f aca="false">IF(AND($C731="Control",$K731=1),$L731,"")</f>
        <v/>
      </c>
      <c r="T731" s="0" t="str">
        <f aca="false">IF(AND($C731="Treatment",$K731=1),$L731,"")</f>
        <v/>
      </c>
    </row>
    <row r="732" customFormat="false" ht="15" hidden="false" customHeight="false" outlineLevel="0" collapsed="false">
      <c r="A732" s="0" t="s">
        <v>763</v>
      </c>
      <c r="B732" s="2" t="n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0" t="n">
        <v>1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2</v>
      </c>
      <c r="N732" s="0" t="n">
        <v>0</v>
      </c>
      <c r="P732" s="0" t="n">
        <v>52.9</v>
      </c>
      <c r="Q732" s="0" t="str">
        <f aca="false">IF($C732="Control",$P732,"")</f>
        <v/>
      </c>
      <c r="R732" s="3" t="n">
        <f aca="false">IF($C732="Treatment",$P732,"")</f>
        <v>52.9</v>
      </c>
      <c r="S732" s="0" t="str">
        <f aca="false">IF(AND($C732="Control",$K732=1),$L732,"")</f>
        <v/>
      </c>
      <c r="T732" s="0" t="str">
        <f aca="false">IF(AND($C732="Treatment",$K732=1),$L732,"")</f>
        <v/>
      </c>
    </row>
    <row r="733" customFormat="false" ht="15" hidden="false" customHeight="false" outlineLevel="0" collapsed="false">
      <c r="A733" s="0" t="s">
        <v>764</v>
      </c>
      <c r="B733" s="2" t="n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0" t="n">
        <v>1</v>
      </c>
      <c r="I733" s="0" t="n">
        <v>1</v>
      </c>
      <c r="J733" s="0" t="n">
        <v>1</v>
      </c>
      <c r="K733" s="0" t="n">
        <v>1</v>
      </c>
      <c r="L733" s="0" t="n">
        <v>442.37</v>
      </c>
      <c r="M733" s="0" t="n">
        <v>1</v>
      </c>
      <c r="N733" s="0" t="n">
        <v>0</v>
      </c>
      <c r="O733" s="0" t="n">
        <v>4</v>
      </c>
      <c r="P733" s="0" t="n">
        <v>69.9</v>
      </c>
      <c r="Q733" s="0" t="str">
        <f aca="false">IF($C733="Control",$P733,"")</f>
        <v/>
      </c>
      <c r="R733" s="3" t="n">
        <f aca="false">IF($C733="Treatment",$P733,"")</f>
        <v>69.9</v>
      </c>
      <c r="S733" s="0" t="str">
        <f aca="false">IF(AND($C733="Control",$K733=1),$L733,"")</f>
        <v/>
      </c>
      <c r="T733" s="3" t="n">
        <f aca="false">IF(AND($C733="Treatment",$K733=1),$L733,"")</f>
        <v>442.37</v>
      </c>
    </row>
    <row r="734" customFormat="false" ht="15" hidden="false" customHeight="false" outlineLevel="0" collapsed="false">
      <c r="A734" s="0" t="s">
        <v>765</v>
      </c>
      <c r="B734" s="2" t="n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0" t="n">
        <v>1</v>
      </c>
      <c r="I734" s="0" t="n">
        <v>1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P734" s="0" t="n">
        <v>78.9</v>
      </c>
      <c r="Q734" s="0" t="str">
        <f aca="false">IF($C734="Control",$P734,"")</f>
        <v/>
      </c>
      <c r="R734" s="3" t="n">
        <f aca="false">IF($C734="Treatment",$P734,"")</f>
        <v>78.9</v>
      </c>
      <c r="S734" s="0" t="str">
        <f aca="false">IF(AND($C734="Control",$K734=1),$L734,"")</f>
        <v/>
      </c>
      <c r="T734" s="0" t="str">
        <f aca="false">IF(AND($C734="Treatment",$K734=1),$L734,"")</f>
        <v/>
      </c>
    </row>
    <row r="735" customFormat="false" ht="15" hidden="false" customHeight="false" outlineLevel="0" collapsed="false">
      <c r="A735" s="0" t="s">
        <v>766</v>
      </c>
      <c r="B735" s="2" t="n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0" t="n">
        <v>1</v>
      </c>
      <c r="I735" s="0" t="n">
        <v>1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P735" s="0" t="n">
        <v>83.3</v>
      </c>
      <c r="Q735" s="0" t="str">
        <f aca="false">IF($C735="Control",$P735,"")</f>
        <v/>
      </c>
      <c r="R735" s="3" t="n">
        <f aca="false">IF($C735="Treatment",$P735,"")</f>
        <v>83.3</v>
      </c>
      <c r="S735" s="0" t="str">
        <f aca="false">IF(AND($C735="Control",$K735=1),$L735,"")</f>
        <v/>
      </c>
      <c r="T735" s="0" t="str">
        <f aca="false">IF(AND($C735="Treatment",$K735=1),$L735,"")</f>
        <v/>
      </c>
    </row>
    <row r="736" customFormat="false" ht="15" hidden="false" customHeight="false" outlineLevel="0" collapsed="false">
      <c r="A736" s="0" t="s">
        <v>767</v>
      </c>
      <c r="B736" s="2" t="n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0" t="n">
        <v>1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0</v>
      </c>
      <c r="P736" s="0" t="n">
        <v>24.5</v>
      </c>
      <c r="Q736" s="0" t="str">
        <f aca="false">IF($C736="Control",$P736,"")</f>
        <v/>
      </c>
      <c r="R736" s="3" t="n">
        <f aca="false">IF($C736="Treatment",$P736,"")</f>
        <v>24.5</v>
      </c>
      <c r="S736" s="0" t="str">
        <f aca="false">IF(AND($C736="Control",$K736=1),$L736,"")</f>
        <v/>
      </c>
      <c r="T736" s="0" t="str">
        <f aca="false">IF(AND($C736="Treatment",$K736=1),$L736,"")</f>
        <v/>
      </c>
    </row>
    <row r="737" customFormat="false" ht="15" hidden="false" customHeight="false" outlineLevel="0" collapsed="false">
      <c r="A737" s="0" t="s">
        <v>768</v>
      </c>
      <c r="B737" s="2" t="n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0" t="n">
        <v>1</v>
      </c>
      <c r="I737" s="0" t="n">
        <v>1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0</v>
      </c>
      <c r="P737" s="0" t="n">
        <v>56.9</v>
      </c>
      <c r="Q737" s="0" t="str">
        <f aca="false">IF($C737="Control",$P737,"")</f>
        <v/>
      </c>
      <c r="R737" s="3" t="n">
        <f aca="false">IF($C737="Treatment",$P737,"")</f>
        <v>56.9</v>
      </c>
      <c r="S737" s="0" t="str">
        <f aca="false">IF(AND($C737="Control",$K737=1),$L737,"")</f>
        <v/>
      </c>
      <c r="T737" s="0" t="str">
        <f aca="false">IF(AND($C737="Treatment",$K737=1),$L737,"")</f>
        <v/>
      </c>
    </row>
    <row r="738" customFormat="false" ht="15" hidden="false" customHeight="false" outlineLevel="0" collapsed="false">
      <c r="A738" s="0" t="s">
        <v>769</v>
      </c>
      <c r="B738" s="2" t="n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0" t="n">
        <v>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P738" s="0" t="n">
        <v>69.9</v>
      </c>
      <c r="Q738" s="0" t="str">
        <f aca="false">IF($C738="Control",$P738,"")</f>
        <v/>
      </c>
      <c r="R738" s="3" t="n">
        <f aca="false">IF($C738="Treatment",$P738,"")</f>
        <v>69.9</v>
      </c>
      <c r="S738" s="0" t="str">
        <f aca="false">IF(AND($C738="Control",$K738=1),$L738,"")</f>
        <v/>
      </c>
      <c r="T738" s="0" t="str">
        <f aca="false">IF(AND($C738="Treatment",$K738=1),$L738,"")</f>
        <v/>
      </c>
    </row>
    <row r="739" customFormat="false" ht="15" hidden="false" customHeight="false" outlineLevel="0" collapsed="false">
      <c r="A739" s="0" t="s">
        <v>770</v>
      </c>
      <c r="B739" s="2" t="n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0" t="n">
        <v>1</v>
      </c>
      <c r="I739" s="0" t="n">
        <v>1</v>
      </c>
      <c r="J739" s="0" t="n">
        <v>1</v>
      </c>
      <c r="K739" s="0" t="n">
        <v>0</v>
      </c>
      <c r="L739" s="0" t="n">
        <v>0</v>
      </c>
      <c r="M739" s="0" t="n">
        <v>0</v>
      </c>
      <c r="N739" s="0" t="n">
        <v>0</v>
      </c>
      <c r="P739" s="0" t="n">
        <v>81.5</v>
      </c>
      <c r="Q739" s="0" t="str">
        <f aca="false">IF($C739="Control",$P739,"")</f>
        <v/>
      </c>
      <c r="R739" s="3" t="n">
        <f aca="false">IF($C739="Treatment",$P739,"")</f>
        <v>81.5</v>
      </c>
      <c r="S739" s="0" t="str">
        <f aca="false">IF(AND($C739="Control",$K739=1),$L739,"")</f>
        <v/>
      </c>
      <c r="T739" s="0" t="str">
        <f aca="false">IF(AND($C739="Treatment",$K739=1),$L739,"")</f>
        <v/>
      </c>
    </row>
    <row r="740" customFormat="false" ht="15" hidden="false" customHeight="false" outlineLevel="0" collapsed="false">
      <c r="A740" s="0" t="s">
        <v>771</v>
      </c>
      <c r="B740" s="2" t="n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2</v>
      </c>
      <c r="N740" s="0" t="n">
        <v>0</v>
      </c>
      <c r="P740" s="0" t="n">
        <v>37.9</v>
      </c>
      <c r="Q740" s="0" t="str">
        <f aca="false">IF($C740="Control",$P740,"")</f>
        <v/>
      </c>
      <c r="R740" s="3" t="n">
        <f aca="false">IF($C740="Treatment",$P740,"")</f>
        <v>37.9</v>
      </c>
      <c r="S740" s="0" t="str">
        <f aca="false">IF(AND($C740="Control",$K740=1),$L740,"")</f>
        <v/>
      </c>
      <c r="T740" s="0" t="str">
        <f aca="false">IF(AND($C740="Treatment",$K740=1),$L740,"")</f>
        <v/>
      </c>
    </row>
    <row r="741" customFormat="false" ht="15" hidden="false" customHeight="false" outlineLevel="0" collapsed="false">
      <c r="A741" s="0" t="s">
        <v>772</v>
      </c>
      <c r="B741" s="2" t="n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0</v>
      </c>
      <c r="P741" s="0" t="n">
        <v>61.7</v>
      </c>
      <c r="Q741" s="0" t="str">
        <f aca="false">IF($C741="Control",$P741,"")</f>
        <v/>
      </c>
      <c r="R741" s="3" t="n">
        <f aca="false">IF($C741="Treatment",$P741,"")</f>
        <v>61.7</v>
      </c>
      <c r="S741" s="0" t="str">
        <f aca="false">IF(AND($C741="Control",$K741=1),$L741,"")</f>
        <v/>
      </c>
      <c r="T741" s="0" t="str">
        <f aca="false">IF(AND($C741="Treatment",$K741=1),$L741,"")</f>
        <v/>
      </c>
    </row>
    <row r="742" customFormat="false" ht="15" hidden="false" customHeight="false" outlineLevel="0" collapsed="false">
      <c r="A742" s="0" t="s">
        <v>773</v>
      </c>
      <c r="B742" s="2" t="n">
        <v>45746</v>
      </c>
      <c r="C742" s="3" t="s">
        <v>723</v>
      </c>
      <c r="D742" s="3" t="s">
        <v>18</v>
      </c>
      <c r="E742" s="3" t="s">
        <v>19</v>
      </c>
      <c r="F742" s="3" t="s">
        <v>1470</v>
      </c>
      <c r="G742" s="3" t="s">
        <v>30</v>
      </c>
      <c r="H742" s="0" t="n">
        <v>1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2</v>
      </c>
      <c r="N742" s="0" t="n">
        <v>0</v>
      </c>
      <c r="P742" s="0" t="n">
        <v>53.2</v>
      </c>
      <c r="Q742" s="0" t="str">
        <f aca="false">IF($C742="Control",$P742,"")</f>
        <v/>
      </c>
      <c r="R742" s="3" t="n">
        <f aca="false">IF($C742="Treatment",$P742,"")</f>
        <v>53.2</v>
      </c>
      <c r="S742" s="0" t="str">
        <f aca="false">IF(AND($C742="Control",$K742=1),$L742,"")</f>
        <v/>
      </c>
      <c r="T742" s="0" t="str">
        <f aca="false">IF(AND($C742="Treatment",$K742=1),$L742,"")</f>
        <v/>
      </c>
    </row>
    <row r="743" customFormat="false" ht="15" hidden="false" customHeight="false" outlineLevel="0" collapsed="false">
      <c r="A743" s="0" t="s">
        <v>774</v>
      </c>
      <c r="B743" s="2" t="n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P743" s="0" t="n">
        <v>61.9</v>
      </c>
      <c r="Q743" s="0" t="str">
        <f aca="false">IF($C743="Control",$P743,"")</f>
        <v/>
      </c>
      <c r="R743" s="3" t="n">
        <f aca="false">IF($C743="Treatment",$P743,"")</f>
        <v>61.9</v>
      </c>
      <c r="S743" s="0" t="str">
        <f aca="false">IF(AND($C743="Control",$K743=1),$L743,"")</f>
        <v/>
      </c>
      <c r="T743" s="0" t="str">
        <f aca="false">IF(AND($C743="Treatment",$K743=1),$L743,"")</f>
        <v/>
      </c>
    </row>
    <row r="744" customFormat="false" ht="15" hidden="false" customHeight="false" outlineLevel="0" collapsed="false">
      <c r="A744" s="0" t="s">
        <v>775</v>
      </c>
      <c r="B744" s="2" t="n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0" t="n">
        <v>1</v>
      </c>
      <c r="I744" s="0" t="n">
        <v>1</v>
      </c>
      <c r="J744" s="0" t="n">
        <v>1</v>
      </c>
      <c r="K744" s="0" t="n">
        <v>0</v>
      </c>
      <c r="L744" s="0" t="n">
        <v>0</v>
      </c>
      <c r="M744" s="0" t="n">
        <v>0</v>
      </c>
      <c r="N744" s="0" t="n">
        <v>0</v>
      </c>
      <c r="P744" s="0" t="n">
        <v>68.9</v>
      </c>
      <c r="Q744" s="0" t="str">
        <f aca="false">IF($C744="Control",$P744,"")</f>
        <v/>
      </c>
      <c r="R744" s="3" t="n">
        <f aca="false">IF($C744="Treatment",$P744,"")</f>
        <v>68.9</v>
      </c>
      <c r="S744" s="0" t="str">
        <f aca="false">IF(AND($C744="Control",$K744=1),$L744,"")</f>
        <v/>
      </c>
      <c r="T744" s="0" t="str">
        <f aca="false">IF(AND($C744="Treatment",$K744=1),$L744,"")</f>
        <v/>
      </c>
    </row>
    <row r="745" customFormat="false" ht="15" hidden="false" customHeight="false" outlineLevel="0" collapsed="false">
      <c r="A745" s="0" t="s">
        <v>776</v>
      </c>
      <c r="B745" s="2" t="n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P745" s="0" t="n">
        <v>66.3</v>
      </c>
      <c r="Q745" s="0" t="str">
        <f aca="false">IF($C745="Control",$P745,"")</f>
        <v/>
      </c>
      <c r="R745" s="3" t="n">
        <f aca="false">IF($C745="Treatment",$P745,"")</f>
        <v>66.3</v>
      </c>
      <c r="S745" s="0" t="str">
        <f aca="false">IF(AND($C745="Control",$K745=1),$L745,"")</f>
        <v/>
      </c>
      <c r="T745" s="0" t="str">
        <f aca="false">IF(AND($C745="Treatment",$K745=1),$L745,"")</f>
        <v/>
      </c>
    </row>
    <row r="746" customFormat="false" ht="15" hidden="false" customHeight="false" outlineLevel="0" collapsed="false">
      <c r="A746" s="0" t="s">
        <v>777</v>
      </c>
      <c r="B746" s="2" t="n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0" t="n">
        <v>1</v>
      </c>
      <c r="I746" s="0" t="n">
        <v>1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0</v>
      </c>
      <c r="P746" s="0" t="n">
        <v>54.6</v>
      </c>
      <c r="Q746" s="0" t="str">
        <f aca="false">IF($C746="Control",$P746,"")</f>
        <v/>
      </c>
      <c r="R746" s="3" t="n">
        <f aca="false">IF($C746="Treatment",$P746,"")</f>
        <v>54.6</v>
      </c>
      <c r="S746" s="0" t="str">
        <f aca="false">IF(AND($C746="Control",$K746=1),$L746,"")</f>
        <v/>
      </c>
      <c r="T746" s="0" t="str">
        <f aca="false">IF(AND($C746="Treatment",$K746=1),$L746,"")</f>
        <v/>
      </c>
    </row>
    <row r="747" customFormat="false" ht="15" hidden="false" customHeight="false" outlineLevel="0" collapsed="false">
      <c r="A747" s="0" t="s">
        <v>778</v>
      </c>
      <c r="B747" s="2" t="n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P747" s="0" t="n">
        <v>53.8</v>
      </c>
      <c r="Q747" s="0" t="str">
        <f aca="false">IF($C747="Control",$P747,"")</f>
        <v/>
      </c>
      <c r="R747" s="3" t="n">
        <f aca="false">IF($C747="Treatment",$P747,"")</f>
        <v>53.8</v>
      </c>
      <c r="S747" s="0" t="str">
        <f aca="false">IF(AND($C747="Control",$K747=1),$L747,"")</f>
        <v/>
      </c>
      <c r="T747" s="0" t="str">
        <f aca="false">IF(AND($C747="Treatment",$K747=1),$L747,"")</f>
        <v/>
      </c>
    </row>
    <row r="748" customFormat="false" ht="15" hidden="false" customHeight="false" outlineLevel="0" collapsed="false">
      <c r="A748" s="0" t="s">
        <v>779</v>
      </c>
      <c r="B748" s="2" t="n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0" t="n">
        <v>1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P748" s="0" t="n">
        <v>59.5</v>
      </c>
      <c r="Q748" s="0" t="str">
        <f aca="false">IF($C748="Control",$P748,"")</f>
        <v/>
      </c>
      <c r="R748" s="3" t="n">
        <f aca="false">IF($C748="Treatment",$P748,"")</f>
        <v>59.5</v>
      </c>
      <c r="S748" s="0" t="str">
        <f aca="false">IF(AND($C748="Control",$K748=1),$L748,"")</f>
        <v/>
      </c>
      <c r="T748" s="0" t="str">
        <f aca="false">IF(AND($C748="Treatment",$K748=1),$L748,"")</f>
        <v/>
      </c>
    </row>
    <row r="749" customFormat="false" ht="15" hidden="false" customHeight="false" outlineLevel="0" collapsed="false">
      <c r="A749" s="0" t="s">
        <v>780</v>
      </c>
      <c r="B749" s="2" t="n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0" t="n">
        <v>1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P749" s="0" t="n">
        <v>52.6</v>
      </c>
      <c r="Q749" s="0" t="str">
        <f aca="false">IF($C749="Control",$P749,"")</f>
        <v/>
      </c>
      <c r="R749" s="3" t="n">
        <f aca="false">IF($C749="Treatment",$P749,"")</f>
        <v>52.6</v>
      </c>
      <c r="S749" s="0" t="str">
        <f aca="false">IF(AND($C749="Control",$K749=1),$L749,"")</f>
        <v/>
      </c>
      <c r="T749" s="0" t="str">
        <f aca="false">IF(AND($C749="Treatment",$K749=1),$L749,"")</f>
        <v/>
      </c>
    </row>
    <row r="750" customFormat="false" ht="15" hidden="false" customHeight="false" outlineLevel="0" collapsed="false">
      <c r="A750" s="0" t="s">
        <v>781</v>
      </c>
      <c r="B750" s="2" t="n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P750" s="0" t="n">
        <v>49</v>
      </c>
      <c r="Q750" s="0" t="str">
        <f aca="false">IF($C750="Control",$P750,"")</f>
        <v/>
      </c>
      <c r="R750" s="3" t="n">
        <f aca="false">IF($C750="Treatment",$P750,"")</f>
        <v>49</v>
      </c>
      <c r="S750" s="0" t="str">
        <f aca="false">IF(AND($C750="Control",$K750=1),$L750,"")</f>
        <v/>
      </c>
      <c r="T750" s="0" t="str">
        <f aca="false">IF(AND($C750="Treatment",$K750=1),$L750,"")</f>
        <v/>
      </c>
    </row>
    <row r="751" customFormat="false" ht="15" hidden="false" customHeight="false" outlineLevel="0" collapsed="false">
      <c r="A751" s="0" t="s">
        <v>782</v>
      </c>
      <c r="B751" s="2" t="n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0" t="n">
        <v>1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P751" s="0" t="n">
        <v>59.3</v>
      </c>
      <c r="Q751" s="0" t="str">
        <f aca="false">IF($C751="Control",$P751,"")</f>
        <v/>
      </c>
      <c r="R751" s="3" t="n">
        <f aca="false">IF($C751="Treatment",$P751,"")</f>
        <v>59.3</v>
      </c>
      <c r="S751" s="0" t="str">
        <f aca="false">IF(AND($C751="Control",$K751=1),$L751,"")</f>
        <v/>
      </c>
      <c r="T751" s="0" t="str">
        <f aca="false">IF(AND($C751="Treatment",$K751=1),$L751,"")</f>
        <v/>
      </c>
    </row>
    <row r="752" customFormat="false" ht="15" hidden="false" customHeight="false" outlineLevel="0" collapsed="false">
      <c r="A752" s="0" t="s">
        <v>783</v>
      </c>
      <c r="B752" s="2" t="n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P752" s="0" t="n">
        <v>67.2</v>
      </c>
      <c r="Q752" s="0" t="str">
        <f aca="false">IF($C752="Control",$P752,"")</f>
        <v/>
      </c>
      <c r="R752" s="3" t="n">
        <f aca="false">IF($C752="Treatment",$P752,"")</f>
        <v>67.2</v>
      </c>
      <c r="S752" s="0" t="str">
        <f aca="false">IF(AND($C752="Control",$K752=1),$L752,"")</f>
        <v/>
      </c>
      <c r="T752" s="0" t="str">
        <f aca="false">IF(AND($C752="Treatment",$K752=1),$L752,"")</f>
        <v/>
      </c>
    </row>
    <row r="753" customFormat="false" ht="15" hidden="false" customHeight="false" outlineLevel="0" collapsed="false">
      <c r="A753" s="0" t="s">
        <v>784</v>
      </c>
      <c r="B753" s="2" t="n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P753" s="0" t="n">
        <v>73.5</v>
      </c>
      <c r="Q753" s="0" t="str">
        <f aca="false">IF($C753="Control",$P753,"")</f>
        <v/>
      </c>
      <c r="R753" s="3" t="n">
        <f aca="false">IF($C753="Treatment",$P753,"")</f>
        <v>73.5</v>
      </c>
      <c r="S753" s="0" t="str">
        <f aca="false">IF(AND($C753="Control",$K753=1),$L753,"")</f>
        <v/>
      </c>
      <c r="T753" s="0" t="str">
        <f aca="false">IF(AND($C753="Treatment",$K753=1),$L753,"")</f>
        <v/>
      </c>
    </row>
    <row r="754" customFormat="false" ht="15" hidden="false" customHeight="false" outlineLevel="0" collapsed="false">
      <c r="A754" s="0" t="s">
        <v>785</v>
      </c>
      <c r="B754" s="2" t="n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0" t="n">
        <v>1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P754" s="0" t="n">
        <v>61.2</v>
      </c>
      <c r="Q754" s="0" t="str">
        <f aca="false">IF($C754="Control",$P754,"")</f>
        <v/>
      </c>
      <c r="R754" s="3" t="n">
        <f aca="false">IF($C754="Treatment",$P754,"")</f>
        <v>61.2</v>
      </c>
      <c r="S754" s="0" t="str">
        <f aca="false">IF(AND($C754="Control",$K754=1),$L754,"")</f>
        <v/>
      </c>
      <c r="T754" s="0" t="str">
        <f aca="false">IF(AND($C754="Treatment",$K754=1),$L754,"")</f>
        <v/>
      </c>
    </row>
    <row r="755" customFormat="false" ht="15" hidden="false" customHeight="false" outlineLevel="0" collapsed="false">
      <c r="A755" s="0" t="s">
        <v>786</v>
      </c>
      <c r="B755" s="2" t="n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0" t="n">
        <v>1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0</v>
      </c>
      <c r="P755" s="0" t="n">
        <v>56.4</v>
      </c>
      <c r="Q755" s="0" t="str">
        <f aca="false">IF($C755="Control",$P755,"")</f>
        <v/>
      </c>
      <c r="R755" s="3" t="n">
        <f aca="false">IF($C755="Treatment",$P755,"")</f>
        <v>56.4</v>
      </c>
      <c r="S755" s="0" t="str">
        <f aca="false">IF(AND($C755="Control",$K755=1),$L755,"")</f>
        <v/>
      </c>
      <c r="T755" s="0" t="str">
        <f aca="false">IF(AND($C755="Treatment",$K755=1),$L755,"")</f>
        <v/>
      </c>
    </row>
    <row r="756" customFormat="false" ht="15" hidden="false" customHeight="false" outlineLevel="0" collapsed="false">
      <c r="A756" s="0" t="s">
        <v>787</v>
      </c>
      <c r="B756" s="2" t="n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3</v>
      </c>
      <c r="N756" s="0" t="n">
        <v>0</v>
      </c>
      <c r="P756" s="0" t="n">
        <v>72.6</v>
      </c>
      <c r="Q756" s="0" t="str">
        <f aca="false">IF($C756="Control",$P756,"")</f>
        <v/>
      </c>
      <c r="R756" s="3" t="n">
        <f aca="false">IF($C756="Treatment",$P756,"")</f>
        <v>72.6</v>
      </c>
      <c r="S756" s="0" t="str">
        <f aca="false">IF(AND($C756="Control",$K756=1),$L756,"")</f>
        <v/>
      </c>
      <c r="T756" s="0" t="str">
        <f aca="false">IF(AND($C756="Treatment",$K756=1),$L756,"")</f>
        <v/>
      </c>
    </row>
    <row r="757" customFormat="false" ht="15" hidden="false" customHeight="false" outlineLevel="0" collapsed="false">
      <c r="A757" s="0" t="s">
        <v>788</v>
      </c>
      <c r="B757" s="2" t="n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0" t="n">
        <v>1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P757" s="0" t="n">
        <v>61.7</v>
      </c>
      <c r="Q757" s="0" t="str">
        <f aca="false">IF($C757="Control",$P757,"")</f>
        <v/>
      </c>
      <c r="R757" s="3" t="n">
        <f aca="false">IF($C757="Treatment",$P757,"")</f>
        <v>61.7</v>
      </c>
      <c r="S757" s="0" t="str">
        <f aca="false">IF(AND($C757="Control",$K757=1),$L757,"")</f>
        <v/>
      </c>
      <c r="T757" s="0" t="str">
        <f aca="false">IF(AND($C757="Treatment",$K757=1),$L757,"")</f>
        <v/>
      </c>
    </row>
    <row r="758" customFormat="false" ht="15" hidden="false" customHeight="false" outlineLevel="0" collapsed="false">
      <c r="A758" s="0" t="s">
        <v>789</v>
      </c>
      <c r="B758" s="2" t="n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0</v>
      </c>
      <c r="P758" s="0" t="n">
        <v>66.9</v>
      </c>
      <c r="Q758" s="0" t="str">
        <f aca="false">IF($C758="Control",$P758,"")</f>
        <v/>
      </c>
      <c r="R758" s="3" t="n">
        <f aca="false">IF($C758="Treatment",$P758,"")</f>
        <v>66.9</v>
      </c>
      <c r="S758" s="0" t="str">
        <f aca="false">IF(AND($C758="Control",$K758=1),$L758,"")</f>
        <v/>
      </c>
      <c r="T758" s="0" t="str">
        <f aca="false">IF(AND($C758="Treatment",$K758=1),$L758,"")</f>
        <v/>
      </c>
    </row>
    <row r="759" customFormat="false" ht="15" hidden="false" customHeight="false" outlineLevel="0" collapsed="false">
      <c r="A759" s="0" t="s">
        <v>790</v>
      </c>
      <c r="B759" s="2" t="n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0" t="n">
        <v>1</v>
      </c>
      <c r="I759" s="0" t="n">
        <v>1</v>
      </c>
      <c r="J759" s="0" t="n">
        <v>1</v>
      </c>
      <c r="K759" s="0" t="n">
        <v>1</v>
      </c>
      <c r="L759" s="0" t="n">
        <v>1506.24</v>
      </c>
      <c r="M759" s="0" t="n">
        <v>1</v>
      </c>
      <c r="N759" s="0" t="n">
        <v>0</v>
      </c>
      <c r="O759" s="0" t="n">
        <v>7</v>
      </c>
      <c r="P759" s="0" t="n">
        <v>64.9</v>
      </c>
      <c r="Q759" s="0" t="str">
        <f aca="false">IF($C759="Control",$P759,"")</f>
        <v/>
      </c>
      <c r="R759" s="3" t="n">
        <f aca="false">IF($C759="Treatment",$P759,"")</f>
        <v>64.9</v>
      </c>
      <c r="S759" s="0" t="str">
        <f aca="false">IF(AND($C759="Control",$K759=1),$L759,"")</f>
        <v/>
      </c>
      <c r="T759" s="3" t="n">
        <f aca="false">IF(AND($C759="Treatment",$K759=1),$L759,"")</f>
        <v>1506.24</v>
      </c>
    </row>
    <row r="760" customFormat="false" ht="15" hidden="false" customHeight="false" outlineLevel="0" collapsed="false">
      <c r="A760" s="0" t="s">
        <v>791</v>
      </c>
      <c r="B760" s="2" t="n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0" t="n">
        <v>1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P760" s="0" t="n">
        <v>57.5</v>
      </c>
      <c r="Q760" s="0" t="str">
        <f aca="false">IF($C760="Control",$P760,"")</f>
        <v/>
      </c>
      <c r="R760" s="3" t="n">
        <f aca="false">IF($C760="Treatment",$P760,"")</f>
        <v>57.5</v>
      </c>
      <c r="S760" s="0" t="str">
        <f aca="false">IF(AND($C760="Control",$K760=1),$L760,"")</f>
        <v/>
      </c>
      <c r="T760" s="0" t="str">
        <f aca="false">IF(AND($C760="Treatment",$K760=1),$L760,"")</f>
        <v/>
      </c>
    </row>
    <row r="761" customFormat="false" ht="15" hidden="false" customHeight="false" outlineLevel="0" collapsed="false">
      <c r="A761" s="0" t="s">
        <v>792</v>
      </c>
      <c r="B761" s="2" t="n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0" t="n">
        <v>1</v>
      </c>
      <c r="I761" s="0" t="n">
        <v>1</v>
      </c>
      <c r="J761" s="0" t="n">
        <v>1</v>
      </c>
      <c r="K761" s="0" t="n">
        <v>0</v>
      </c>
      <c r="L761" s="0" t="n">
        <v>0</v>
      </c>
      <c r="M761" s="0" t="n">
        <v>0</v>
      </c>
      <c r="N761" s="0" t="n">
        <v>0</v>
      </c>
      <c r="P761" s="0" t="n">
        <v>76.3</v>
      </c>
      <c r="Q761" s="0" t="str">
        <f aca="false">IF($C761="Control",$P761,"")</f>
        <v/>
      </c>
      <c r="R761" s="3" t="n">
        <f aca="false">IF($C761="Treatment",$P761,"")</f>
        <v>76.3</v>
      </c>
      <c r="S761" s="0" t="str">
        <f aca="false">IF(AND($C761="Control",$K761=1),$L761,"")</f>
        <v/>
      </c>
      <c r="T761" s="0" t="str">
        <f aca="false">IF(AND($C761="Treatment",$K761=1),$L761,"")</f>
        <v/>
      </c>
    </row>
    <row r="762" customFormat="false" ht="15" hidden="false" customHeight="false" outlineLevel="0" collapsed="false">
      <c r="A762" s="0" t="s">
        <v>793</v>
      </c>
      <c r="B762" s="2" t="n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P762" s="0" t="n">
        <v>47.5</v>
      </c>
      <c r="Q762" s="0" t="str">
        <f aca="false">IF($C762="Control",$P762,"")</f>
        <v/>
      </c>
      <c r="R762" s="3" t="n">
        <f aca="false">IF($C762="Treatment",$P762,"")</f>
        <v>47.5</v>
      </c>
      <c r="S762" s="0" t="str">
        <f aca="false">IF(AND($C762="Control",$K762=1),$L762,"")</f>
        <v/>
      </c>
      <c r="T762" s="0" t="str">
        <f aca="false">IF(AND($C762="Treatment",$K762=1),$L762,"")</f>
        <v/>
      </c>
    </row>
    <row r="763" customFormat="false" ht="15" hidden="false" customHeight="false" outlineLevel="0" collapsed="false">
      <c r="A763" s="0" t="s">
        <v>794</v>
      </c>
      <c r="B763" s="2" t="n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  <c r="Q763" s="0" t="str">
        <f aca="false">IF($C763="Control",$P763,"")</f>
        <v/>
      </c>
      <c r="R763" s="3" t="n">
        <f aca="false">IF($C763="Treatment",$P763,"")</f>
        <v>0</v>
      </c>
      <c r="S763" s="0" t="str">
        <f aca="false">IF(AND($C763="Control",$K763=1),$L763,"")</f>
        <v/>
      </c>
      <c r="T763" s="0" t="str">
        <f aca="false">IF(AND($C763="Treatment",$K763=1),$L763,"")</f>
        <v/>
      </c>
    </row>
    <row r="764" customFormat="false" ht="15" hidden="false" customHeight="false" outlineLevel="0" collapsed="false">
      <c r="A764" s="0" t="s">
        <v>795</v>
      </c>
      <c r="B764" s="2" t="n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0" t="n">
        <v>1</v>
      </c>
      <c r="I764" s="0" t="n">
        <v>1</v>
      </c>
      <c r="J764" s="0" t="n">
        <v>0</v>
      </c>
      <c r="K764" s="0" t="n">
        <v>0</v>
      </c>
      <c r="L764" s="0" t="n">
        <v>0</v>
      </c>
      <c r="M764" s="0" t="n">
        <v>2</v>
      </c>
      <c r="N764" s="0" t="n">
        <v>0</v>
      </c>
      <c r="P764" s="0" t="n">
        <v>71.6</v>
      </c>
      <c r="Q764" s="0" t="str">
        <f aca="false">IF($C764="Control",$P764,"")</f>
        <v/>
      </c>
      <c r="R764" s="3" t="n">
        <f aca="false">IF($C764="Treatment",$P764,"")</f>
        <v>71.6</v>
      </c>
      <c r="S764" s="0" t="str">
        <f aca="false">IF(AND($C764="Control",$K764=1),$L764,"")</f>
        <v/>
      </c>
      <c r="T764" s="0" t="str">
        <f aca="false">IF(AND($C764="Treatment",$K764=1),$L764,"")</f>
        <v/>
      </c>
    </row>
    <row r="765" customFormat="false" ht="15" hidden="false" customHeight="false" outlineLevel="0" collapsed="false">
      <c r="A765" s="0" t="s">
        <v>796</v>
      </c>
      <c r="B765" s="2" t="n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0" t="n">
        <v>1</v>
      </c>
      <c r="I765" s="0" t="n">
        <v>1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P765" s="0" t="n">
        <v>55.8</v>
      </c>
      <c r="Q765" s="0" t="str">
        <f aca="false">IF($C765="Control",$P765,"")</f>
        <v/>
      </c>
      <c r="R765" s="3" t="n">
        <f aca="false">IF($C765="Treatment",$P765,"")</f>
        <v>55.8</v>
      </c>
      <c r="S765" s="0" t="str">
        <f aca="false">IF(AND($C765="Control",$K765=1),$L765,"")</f>
        <v/>
      </c>
      <c r="T765" s="0" t="str">
        <f aca="false">IF(AND($C765="Treatment",$K765=1),$L765,"")</f>
        <v/>
      </c>
    </row>
    <row r="766" customFormat="false" ht="15" hidden="false" customHeight="false" outlineLevel="0" collapsed="false">
      <c r="A766" s="0" t="s">
        <v>797</v>
      </c>
      <c r="B766" s="2" t="n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0</v>
      </c>
      <c r="P766" s="0" t="n">
        <v>60.1</v>
      </c>
      <c r="Q766" s="0" t="str">
        <f aca="false">IF($C766="Control",$P766,"")</f>
        <v/>
      </c>
      <c r="R766" s="3" t="n">
        <f aca="false">IF($C766="Treatment",$P766,"")</f>
        <v>60.1</v>
      </c>
      <c r="S766" s="0" t="str">
        <f aca="false">IF(AND($C766="Control",$K766=1),$L766,"")</f>
        <v/>
      </c>
      <c r="T766" s="0" t="str">
        <f aca="false">IF(AND($C766="Treatment",$K766=1),$L766,"")</f>
        <v/>
      </c>
    </row>
    <row r="767" customFormat="false" ht="15" hidden="false" customHeight="false" outlineLevel="0" collapsed="false">
      <c r="A767" s="0" t="s">
        <v>798</v>
      </c>
      <c r="B767" s="2" t="n">
        <v>45671</v>
      </c>
      <c r="C767" s="3" t="s">
        <v>723</v>
      </c>
      <c r="D767" s="3" t="s">
        <v>23</v>
      </c>
      <c r="E767" s="3" t="s">
        <v>1470</v>
      </c>
      <c r="F767" s="3" t="s">
        <v>20</v>
      </c>
      <c r="G767" s="3" t="s">
        <v>21</v>
      </c>
      <c r="H767" s="0" t="n">
        <v>1</v>
      </c>
      <c r="I767" s="0" t="n">
        <v>1</v>
      </c>
      <c r="J767" s="0" t="n">
        <v>1</v>
      </c>
      <c r="K767" s="0" t="n">
        <v>0</v>
      </c>
      <c r="L767" s="0" t="n">
        <v>0</v>
      </c>
      <c r="M767" s="0" t="n">
        <v>1</v>
      </c>
      <c r="N767" s="0" t="n">
        <v>0</v>
      </c>
      <c r="P767" s="0" t="n">
        <v>59.3</v>
      </c>
      <c r="Q767" s="0" t="str">
        <f aca="false">IF($C767="Control",$P767,"")</f>
        <v/>
      </c>
      <c r="R767" s="3" t="n">
        <f aca="false">IF($C767="Treatment",$P767,"")</f>
        <v>59.3</v>
      </c>
      <c r="S767" s="0" t="str">
        <f aca="false">IF(AND($C767="Control",$K767=1),$L767,"")</f>
        <v/>
      </c>
      <c r="T767" s="0" t="str">
        <f aca="false">IF(AND($C767="Treatment",$K767=1),$L767,"")</f>
        <v/>
      </c>
    </row>
    <row r="768" customFormat="false" ht="15" hidden="false" customHeight="false" outlineLevel="0" collapsed="false">
      <c r="A768" s="0" t="s">
        <v>799</v>
      </c>
      <c r="B768" s="2" t="n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0" t="n">
        <v>1</v>
      </c>
      <c r="I768" s="0" t="n">
        <v>1</v>
      </c>
      <c r="J768" s="0" t="n">
        <v>0</v>
      </c>
      <c r="K768" s="0" t="n">
        <v>0</v>
      </c>
      <c r="L768" s="0" t="n">
        <v>0</v>
      </c>
      <c r="M768" s="0" t="n">
        <v>2</v>
      </c>
      <c r="N768" s="0" t="n">
        <v>0</v>
      </c>
      <c r="P768" s="0" t="n">
        <v>49.3</v>
      </c>
      <c r="Q768" s="0" t="str">
        <f aca="false">IF($C768="Control",$P768,"")</f>
        <v/>
      </c>
      <c r="R768" s="3" t="n">
        <f aca="false">IF($C768="Treatment",$P768,"")</f>
        <v>49.3</v>
      </c>
      <c r="S768" s="0" t="str">
        <f aca="false">IF(AND($C768="Control",$K768=1),$L768,"")</f>
        <v/>
      </c>
      <c r="T768" s="0" t="str">
        <f aca="false">IF(AND($C768="Treatment",$K768=1),$L768,"")</f>
        <v/>
      </c>
    </row>
    <row r="769" customFormat="false" ht="15" hidden="false" customHeight="false" outlineLevel="0" collapsed="false">
      <c r="A769" s="0" t="s">
        <v>800</v>
      </c>
      <c r="B769" s="2" t="n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0" t="n">
        <v>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P769" s="0" t="n">
        <v>75</v>
      </c>
      <c r="Q769" s="0" t="str">
        <f aca="false">IF($C769="Control",$P769,"")</f>
        <v/>
      </c>
      <c r="R769" s="3" t="n">
        <f aca="false">IF($C769="Treatment",$P769,"")</f>
        <v>75</v>
      </c>
      <c r="S769" s="0" t="str">
        <f aca="false">IF(AND($C769="Control",$K769=1),$L769,"")</f>
        <v/>
      </c>
      <c r="T769" s="0" t="str">
        <f aca="false">IF(AND($C769="Treatment",$K769=1),$L769,"")</f>
        <v/>
      </c>
    </row>
    <row r="770" customFormat="false" ht="15" hidden="false" customHeight="false" outlineLevel="0" collapsed="false">
      <c r="A770" s="0" t="s">
        <v>801</v>
      </c>
      <c r="B770" s="2" t="n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0" t="n">
        <v>1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P770" s="0" t="n">
        <v>70.2</v>
      </c>
      <c r="Q770" s="0" t="str">
        <f aca="false">IF($C770="Control",$P770,"")</f>
        <v/>
      </c>
      <c r="R770" s="3" t="n">
        <f aca="false">IF($C770="Treatment",$P770,"")</f>
        <v>70.2</v>
      </c>
      <c r="S770" s="0" t="str">
        <f aca="false">IF(AND($C770="Control",$K770=1),$L770,"")</f>
        <v/>
      </c>
      <c r="T770" s="0" t="str">
        <f aca="false">IF(AND($C770="Treatment",$K770=1),$L770,"")</f>
        <v/>
      </c>
    </row>
    <row r="771" customFormat="false" ht="15" hidden="false" customHeight="false" outlineLevel="0" collapsed="false">
      <c r="A771" s="0" t="s">
        <v>802</v>
      </c>
      <c r="B771" s="2" t="n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0" t="n">
        <v>1</v>
      </c>
      <c r="I771" s="0" t="n">
        <v>1</v>
      </c>
      <c r="J771" s="0" t="n">
        <v>1</v>
      </c>
      <c r="K771" s="0" t="n">
        <v>0</v>
      </c>
      <c r="L771" s="0" t="n">
        <v>0</v>
      </c>
      <c r="M771" s="0" t="n">
        <v>0</v>
      </c>
      <c r="N771" s="0" t="n">
        <v>0</v>
      </c>
      <c r="P771" s="0" t="n">
        <v>56.6</v>
      </c>
      <c r="Q771" s="0" t="str">
        <f aca="false">IF($C771="Control",$P771,"")</f>
        <v/>
      </c>
      <c r="R771" s="3" t="n">
        <f aca="false">IF($C771="Treatment",$P771,"")</f>
        <v>56.6</v>
      </c>
      <c r="S771" s="0" t="str">
        <f aca="false">IF(AND($C771="Control",$K771=1),$L771,"")</f>
        <v/>
      </c>
      <c r="T771" s="0" t="str">
        <f aca="false">IF(AND($C771="Treatment",$K771=1),$L771,"")</f>
        <v/>
      </c>
    </row>
    <row r="772" customFormat="false" ht="15" hidden="false" customHeight="false" outlineLevel="0" collapsed="false">
      <c r="A772" s="0" t="s">
        <v>803</v>
      </c>
      <c r="B772" s="2" t="n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0" t="n">
        <v>1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P772" s="0" t="n">
        <v>65.4</v>
      </c>
      <c r="Q772" s="0" t="str">
        <f aca="false">IF($C772="Control",$P772,"")</f>
        <v/>
      </c>
      <c r="R772" s="3" t="n">
        <f aca="false">IF($C772="Treatment",$P772,"")</f>
        <v>65.4</v>
      </c>
      <c r="S772" s="0" t="str">
        <f aca="false">IF(AND($C772="Control",$K772=1),$L772,"")</f>
        <v/>
      </c>
      <c r="T772" s="0" t="str">
        <f aca="false">IF(AND($C772="Treatment",$K772=1),$L772,"")</f>
        <v/>
      </c>
    </row>
    <row r="773" customFormat="false" ht="15" hidden="false" customHeight="false" outlineLevel="0" collapsed="false">
      <c r="A773" s="0" t="s">
        <v>804</v>
      </c>
      <c r="B773" s="2" t="n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0" t="n">
        <v>1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P773" s="0" t="n">
        <v>47.6</v>
      </c>
      <c r="Q773" s="0" t="str">
        <f aca="false">IF($C773="Control",$P773,"")</f>
        <v/>
      </c>
      <c r="R773" s="3" t="n">
        <f aca="false">IF($C773="Treatment",$P773,"")</f>
        <v>47.6</v>
      </c>
      <c r="S773" s="0" t="str">
        <f aca="false">IF(AND($C773="Control",$K773=1),$L773,"")</f>
        <v/>
      </c>
      <c r="T773" s="0" t="str">
        <f aca="false">IF(AND($C773="Treatment",$K773=1),$L773,"")</f>
        <v/>
      </c>
    </row>
    <row r="774" customFormat="false" ht="15" hidden="false" customHeight="false" outlineLevel="0" collapsed="false">
      <c r="A774" s="0" t="s">
        <v>805</v>
      </c>
      <c r="B774" s="2" t="n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0" t="n">
        <v>1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P774" s="0" t="n">
        <v>56.7</v>
      </c>
      <c r="Q774" s="0" t="str">
        <f aca="false">IF($C774="Control",$P774,"")</f>
        <v/>
      </c>
      <c r="R774" s="3" t="n">
        <f aca="false">IF($C774="Treatment",$P774,"")</f>
        <v>56.7</v>
      </c>
      <c r="S774" s="0" t="str">
        <f aca="false">IF(AND($C774="Control",$K774=1),$L774,"")</f>
        <v/>
      </c>
      <c r="T774" s="0" t="str">
        <f aca="false">IF(AND($C774="Treatment",$K774=1),$L774,"")</f>
        <v/>
      </c>
    </row>
    <row r="775" customFormat="false" ht="15" hidden="false" customHeight="false" outlineLevel="0" collapsed="false">
      <c r="A775" s="0" t="s">
        <v>806</v>
      </c>
      <c r="B775" s="2" t="n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0" t="n">
        <v>1</v>
      </c>
      <c r="I775" s="0" t="n">
        <v>1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P775" s="0" t="n">
        <v>71.4</v>
      </c>
      <c r="Q775" s="0" t="str">
        <f aca="false">IF($C775="Control",$P775,"")</f>
        <v/>
      </c>
      <c r="R775" s="3" t="n">
        <f aca="false">IF($C775="Treatment",$P775,"")</f>
        <v>71.4</v>
      </c>
      <c r="S775" s="0" t="str">
        <f aca="false">IF(AND($C775="Control",$K775=1),$L775,"")</f>
        <v/>
      </c>
      <c r="T775" s="0" t="str">
        <f aca="false">IF(AND($C775="Treatment",$K775=1),$L775,"")</f>
        <v/>
      </c>
    </row>
    <row r="776" customFormat="false" ht="15" hidden="false" customHeight="false" outlineLevel="0" collapsed="false">
      <c r="A776" s="0" t="s">
        <v>807</v>
      </c>
      <c r="B776" s="2" t="n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2</v>
      </c>
      <c r="N776" s="0" t="n">
        <v>0</v>
      </c>
      <c r="P776" s="0" t="n">
        <v>60.5</v>
      </c>
      <c r="Q776" s="0" t="str">
        <f aca="false">IF($C776="Control",$P776,"")</f>
        <v/>
      </c>
      <c r="R776" s="3" t="n">
        <f aca="false">IF($C776="Treatment",$P776,"")</f>
        <v>60.5</v>
      </c>
      <c r="S776" s="0" t="str">
        <f aca="false">IF(AND($C776="Control",$K776=1),$L776,"")</f>
        <v/>
      </c>
      <c r="T776" s="0" t="str">
        <f aca="false">IF(AND($C776="Treatment",$K776=1),$L776,"")</f>
        <v/>
      </c>
    </row>
    <row r="777" customFormat="false" ht="15" hidden="false" customHeight="false" outlineLevel="0" collapsed="false">
      <c r="A777" s="0" t="s">
        <v>808</v>
      </c>
      <c r="B777" s="2" t="n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0" t="n">
        <v>1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P777" s="0" t="n">
        <v>46.7</v>
      </c>
      <c r="Q777" s="0" t="str">
        <f aca="false">IF($C777="Control",$P777,"")</f>
        <v/>
      </c>
      <c r="R777" s="3" t="n">
        <f aca="false">IF($C777="Treatment",$P777,"")</f>
        <v>46.7</v>
      </c>
      <c r="S777" s="0" t="str">
        <f aca="false">IF(AND($C777="Control",$K777=1),$L777,"")</f>
        <v/>
      </c>
      <c r="T777" s="0" t="str">
        <f aca="false">IF(AND($C777="Treatment",$K777=1),$L777,"")</f>
        <v/>
      </c>
    </row>
    <row r="778" customFormat="false" ht="15" hidden="false" customHeight="false" outlineLevel="0" collapsed="false">
      <c r="A778" s="0" t="s">
        <v>809</v>
      </c>
      <c r="B778" s="2" t="n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P778" s="0" t="n">
        <v>61</v>
      </c>
      <c r="Q778" s="0" t="str">
        <f aca="false">IF($C778="Control",$P778,"")</f>
        <v/>
      </c>
      <c r="R778" s="3" t="n">
        <f aca="false">IF($C778="Treatment",$P778,"")</f>
        <v>61</v>
      </c>
      <c r="S778" s="0" t="str">
        <f aca="false">IF(AND($C778="Control",$K778=1),$L778,"")</f>
        <v/>
      </c>
      <c r="T778" s="0" t="str">
        <f aca="false">IF(AND($C778="Treatment",$K778=1),$L778,"")</f>
        <v/>
      </c>
    </row>
    <row r="779" customFormat="false" ht="15" hidden="false" customHeight="false" outlineLevel="0" collapsed="false">
      <c r="A779" s="0" t="s">
        <v>810</v>
      </c>
      <c r="B779" s="2" t="n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P779" s="0" t="n">
        <v>60.9</v>
      </c>
      <c r="Q779" s="0" t="str">
        <f aca="false">IF($C779="Control",$P779,"")</f>
        <v/>
      </c>
      <c r="R779" s="3" t="n">
        <f aca="false">IF($C779="Treatment",$P779,"")</f>
        <v>60.9</v>
      </c>
      <c r="S779" s="0" t="str">
        <f aca="false">IF(AND($C779="Control",$K779=1),$L779,"")</f>
        <v/>
      </c>
      <c r="T779" s="0" t="str">
        <f aca="false">IF(AND($C779="Treatment",$K779=1),$L779,"")</f>
        <v/>
      </c>
    </row>
    <row r="780" customFormat="false" ht="15" hidden="false" customHeight="false" outlineLevel="0" collapsed="false">
      <c r="A780" s="0" t="s">
        <v>811</v>
      </c>
      <c r="B780" s="2" t="n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0" t="n">
        <v>1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P780" s="0" t="n">
        <v>67.1</v>
      </c>
      <c r="Q780" s="0" t="str">
        <f aca="false">IF($C780="Control",$P780,"")</f>
        <v/>
      </c>
      <c r="R780" s="3" t="n">
        <f aca="false">IF($C780="Treatment",$P780,"")</f>
        <v>67.1</v>
      </c>
      <c r="S780" s="0" t="str">
        <f aca="false">IF(AND($C780="Control",$K780=1),$L780,"")</f>
        <v/>
      </c>
      <c r="T780" s="0" t="str">
        <f aca="false">IF(AND($C780="Treatment",$K780=1),$L780,"")</f>
        <v/>
      </c>
    </row>
    <row r="781" customFormat="false" ht="15" hidden="false" customHeight="false" outlineLevel="0" collapsed="false">
      <c r="A781" s="0" t="s">
        <v>812</v>
      </c>
      <c r="B781" s="2" t="n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0" t="n">
        <v>1</v>
      </c>
      <c r="I781" s="0" t="n">
        <v>1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P781" s="0" t="n">
        <v>59.6</v>
      </c>
      <c r="Q781" s="0" t="str">
        <f aca="false">IF($C781="Control",$P781,"")</f>
        <v/>
      </c>
      <c r="R781" s="3" t="n">
        <f aca="false">IF($C781="Treatment",$P781,"")</f>
        <v>59.6</v>
      </c>
      <c r="S781" s="0" t="str">
        <f aca="false">IF(AND($C781="Control",$K781=1),$L781,"")</f>
        <v/>
      </c>
      <c r="T781" s="0" t="str">
        <f aca="false">IF(AND($C781="Treatment",$K781=1),$L781,"")</f>
        <v/>
      </c>
    </row>
    <row r="782" customFormat="false" ht="15" hidden="false" customHeight="false" outlineLevel="0" collapsed="false">
      <c r="A782" s="0" t="s">
        <v>813</v>
      </c>
      <c r="B782" s="2" t="n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0" t="n">
        <v>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P782" s="0" t="n">
        <v>83.8</v>
      </c>
      <c r="Q782" s="0" t="str">
        <f aca="false">IF($C782="Control",$P782,"")</f>
        <v/>
      </c>
      <c r="R782" s="3" t="n">
        <f aca="false">IF($C782="Treatment",$P782,"")</f>
        <v>83.8</v>
      </c>
      <c r="S782" s="0" t="str">
        <f aca="false">IF(AND($C782="Control",$K782=1),$L782,"")</f>
        <v/>
      </c>
      <c r="T782" s="0" t="str">
        <f aca="false">IF(AND($C782="Treatment",$K782=1),$L782,"")</f>
        <v/>
      </c>
    </row>
    <row r="783" customFormat="false" ht="15" hidden="false" customHeight="false" outlineLevel="0" collapsed="false">
      <c r="A783" s="0" t="s">
        <v>814</v>
      </c>
      <c r="B783" s="2" t="n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0" t="n">
        <v>1</v>
      </c>
      <c r="I783" s="0" t="n">
        <v>1</v>
      </c>
      <c r="J783" s="0" t="n">
        <v>1</v>
      </c>
      <c r="K783" s="0" t="n">
        <v>0</v>
      </c>
      <c r="L783" s="0" t="n">
        <v>0</v>
      </c>
      <c r="M783" s="0" t="n">
        <v>0</v>
      </c>
      <c r="N783" s="0" t="n">
        <v>0</v>
      </c>
      <c r="P783" s="0" t="n">
        <v>70.8</v>
      </c>
      <c r="Q783" s="0" t="str">
        <f aca="false">IF($C783="Control",$P783,"")</f>
        <v/>
      </c>
      <c r="R783" s="3" t="n">
        <f aca="false">IF($C783="Treatment",$P783,"")</f>
        <v>70.8</v>
      </c>
      <c r="S783" s="0" t="str">
        <f aca="false">IF(AND($C783="Control",$K783=1),$L783,"")</f>
        <v/>
      </c>
      <c r="T783" s="0" t="str">
        <f aca="false">IF(AND($C783="Treatment",$K783=1),$L783,"")</f>
        <v/>
      </c>
    </row>
    <row r="784" customFormat="false" ht="15" hidden="false" customHeight="false" outlineLevel="0" collapsed="false">
      <c r="A784" s="0" t="s">
        <v>815</v>
      </c>
      <c r="B784" s="2" t="n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P784" s="0" t="n">
        <v>65.9</v>
      </c>
      <c r="Q784" s="0" t="str">
        <f aca="false">IF($C784="Control",$P784,"")</f>
        <v/>
      </c>
      <c r="R784" s="3" t="n">
        <f aca="false">IF($C784="Treatment",$P784,"")</f>
        <v>65.9</v>
      </c>
      <c r="S784" s="0" t="str">
        <f aca="false">IF(AND($C784="Control",$K784=1),$L784,"")</f>
        <v/>
      </c>
      <c r="T784" s="0" t="str">
        <f aca="false">IF(AND($C784="Treatment",$K784=1),$L784,"")</f>
        <v/>
      </c>
    </row>
    <row r="785" customFormat="false" ht="15" hidden="false" customHeight="false" outlineLevel="0" collapsed="false">
      <c r="A785" s="0" t="s">
        <v>816</v>
      </c>
      <c r="B785" s="2" t="n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0" t="n">
        <v>1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P785" s="0" t="n">
        <v>58</v>
      </c>
      <c r="Q785" s="0" t="str">
        <f aca="false">IF($C785="Control",$P785,"")</f>
        <v/>
      </c>
      <c r="R785" s="3" t="n">
        <f aca="false">IF($C785="Treatment",$P785,"")</f>
        <v>58</v>
      </c>
      <c r="S785" s="0" t="str">
        <f aca="false">IF(AND($C785="Control",$K785=1),$L785,"")</f>
        <v/>
      </c>
      <c r="T785" s="0" t="str">
        <f aca="false">IF(AND($C785="Treatment",$K785=1),$L785,"")</f>
        <v/>
      </c>
    </row>
    <row r="786" customFormat="false" ht="15" hidden="false" customHeight="false" outlineLevel="0" collapsed="false">
      <c r="A786" s="0" t="s">
        <v>817</v>
      </c>
      <c r="B786" s="2" t="n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0" t="n">
        <v>1</v>
      </c>
      <c r="I786" s="0" t="n">
        <v>1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P786" s="0" t="n">
        <v>80.3</v>
      </c>
      <c r="Q786" s="0" t="str">
        <f aca="false">IF($C786="Control",$P786,"")</f>
        <v/>
      </c>
      <c r="R786" s="3" t="n">
        <f aca="false">IF($C786="Treatment",$P786,"")</f>
        <v>80.3</v>
      </c>
      <c r="S786" s="0" t="str">
        <f aca="false">IF(AND($C786="Control",$K786=1),$L786,"")</f>
        <v/>
      </c>
      <c r="T786" s="0" t="str">
        <f aca="false">IF(AND($C786="Treatment",$K786=1),$L786,"")</f>
        <v/>
      </c>
    </row>
    <row r="787" customFormat="false" ht="15" hidden="false" customHeight="false" outlineLevel="0" collapsed="false">
      <c r="A787" s="0" t="s">
        <v>818</v>
      </c>
      <c r="B787" s="2" t="n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0" t="n">
        <v>1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P787" s="0" t="n">
        <v>55.7</v>
      </c>
      <c r="Q787" s="0" t="str">
        <f aca="false">IF($C787="Control",$P787,"")</f>
        <v/>
      </c>
      <c r="R787" s="3" t="n">
        <f aca="false">IF($C787="Treatment",$P787,"")</f>
        <v>55.7</v>
      </c>
      <c r="S787" s="0" t="str">
        <f aca="false">IF(AND($C787="Control",$K787=1),$L787,"")</f>
        <v/>
      </c>
      <c r="T787" s="0" t="str">
        <f aca="false">IF(AND($C787="Treatment",$K787=1),$L787,"")</f>
        <v/>
      </c>
    </row>
    <row r="788" customFormat="false" ht="15" hidden="false" customHeight="false" outlineLevel="0" collapsed="false">
      <c r="A788" s="0" t="s">
        <v>819</v>
      </c>
      <c r="B788" s="2" t="n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0" t="n">
        <v>1</v>
      </c>
      <c r="I788" s="0" t="n">
        <v>1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P788" s="0" t="n">
        <v>84.9</v>
      </c>
      <c r="Q788" s="0" t="str">
        <f aca="false">IF($C788="Control",$P788,"")</f>
        <v/>
      </c>
      <c r="R788" s="3" t="n">
        <f aca="false">IF($C788="Treatment",$P788,"")</f>
        <v>84.9</v>
      </c>
      <c r="S788" s="0" t="str">
        <f aca="false">IF(AND($C788="Control",$K788=1),$L788,"")</f>
        <v/>
      </c>
      <c r="T788" s="0" t="str">
        <f aca="false">IF(AND($C788="Treatment",$K788=1),$L788,"")</f>
        <v/>
      </c>
    </row>
    <row r="789" customFormat="false" ht="15" hidden="false" customHeight="false" outlineLevel="0" collapsed="false">
      <c r="A789" s="0" t="s">
        <v>820</v>
      </c>
      <c r="B789" s="2" t="n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0" t="n">
        <v>1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P789" s="0" t="n">
        <v>63.3</v>
      </c>
      <c r="Q789" s="0" t="str">
        <f aca="false">IF($C789="Control",$P789,"")</f>
        <v/>
      </c>
      <c r="R789" s="3" t="n">
        <f aca="false">IF($C789="Treatment",$P789,"")</f>
        <v>63.3</v>
      </c>
      <c r="S789" s="0" t="str">
        <f aca="false">IF(AND($C789="Control",$K789=1),$L789,"")</f>
        <v/>
      </c>
      <c r="T789" s="0" t="str">
        <f aca="false">IF(AND($C789="Treatment",$K789=1),$L789,"")</f>
        <v/>
      </c>
    </row>
    <row r="790" customFormat="false" ht="15" hidden="false" customHeight="false" outlineLevel="0" collapsed="false">
      <c r="A790" s="0" t="s">
        <v>821</v>
      </c>
      <c r="B790" s="2" t="n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P790" s="0" t="n">
        <v>53.1</v>
      </c>
      <c r="Q790" s="0" t="str">
        <f aca="false">IF($C790="Control",$P790,"")</f>
        <v/>
      </c>
      <c r="R790" s="3" t="n">
        <f aca="false">IF($C790="Treatment",$P790,"")</f>
        <v>53.1</v>
      </c>
      <c r="S790" s="0" t="str">
        <f aca="false">IF(AND($C790="Control",$K790=1),$L790,"")</f>
        <v/>
      </c>
      <c r="T790" s="0" t="str">
        <f aca="false">IF(AND($C790="Treatment",$K790=1),$L790,"")</f>
        <v/>
      </c>
    </row>
    <row r="791" customFormat="false" ht="15" hidden="false" customHeight="false" outlineLevel="0" collapsed="false">
      <c r="A791" s="0" t="s">
        <v>822</v>
      </c>
      <c r="B791" s="2" t="n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P791" s="0" t="n">
        <v>66</v>
      </c>
      <c r="Q791" s="0" t="str">
        <f aca="false">IF($C791="Control",$P791,"")</f>
        <v/>
      </c>
      <c r="R791" s="3" t="n">
        <f aca="false">IF($C791="Treatment",$P791,"")</f>
        <v>66</v>
      </c>
      <c r="S791" s="0" t="str">
        <f aca="false">IF(AND($C791="Control",$K791=1),$L791,"")</f>
        <v/>
      </c>
      <c r="T791" s="0" t="str">
        <f aca="false">IF(AND($C791="Treatment",$K791=1),$L791,"")</f>
        <v/>
      </c>
    </row>
    <row r="792" customFormat="false" ht="15" hidden="false" customHeight="false" outlineLevel="0" collapsed="false">
      <c r="A792" s="0" t="s">
        <v>823</v>
      </c>
      <c r="B792" s="2" t="n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P792" s="0" t="n">
        <v>54.7</v>
      </c>
      <c r="Q792" s="0" t="str">
        <f aca="false">IF($C792="Control",$P792,"")</f>
        <v/>
      </c>
      <c r="R792" s="3" t="n">
        <f aca="false">IF($C792="Treatment",$P792,"")</f>
        <v>54.7</v>
      </c>
      <c r="S792" s="0" t="str">
        <f aca="false">IF(AND($C792="Control",$K792=1),$L792,"")</f>
        <v/>
      </c>
      <c r="T792" s="0" t="str">
        <f aca="false">IF(AND($C792="Treatment",$K792=1),$L792,"")</f>
        <v/>
      </c>
    </row>
    <row r="793" customFormat="false" ht="15" hidden="false" customHeight="false" outlineLevel="0" collapsed="false">
      <c r="A793" s="0" t="s">
        <v>824</v>
      </c>
      <c r="B793" s="2" t="n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0" t="n">
        <v>1</v>
      </c>
      <c r="I793" s="0" t="n">
        <v>1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0</v>
      </c>
      <c r="P793" s="0" t="n">
        <v>41.2</v>
      </c>
      <c r="Q793" s="0" t="str">
        <f aca="false">IF($C793="Control",$P793,"")</f>
        <v/>
      </c>
      <c r="R793" s="3" t="n">
        <f aca="false">IF($C793="Treatment",$P793,"")</f>
        <v>41.2</v>
      </c>
      <c r="S793" s="0" t="str">
        <f aca="false">IF(AND($C793="Control",$K793=1),$L793,"")</f>
        <v/>
      </c>
      <c r="T793" s="0" t="str">
        <f aca="false">IF(AND($C793="Treatment",$K793=1),$L793,"")</f>
        <v/>
      </c>
    </row>
    <row r="794" customFormat="false" ht="15" hidden="false" customHeight="false" outlineLevel="0" collapsed="false">
      <c r="A794" s="0" t="s">
        <v>825</v>
      </c>
      <c r="B794" s="2" t="n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P794" s="0" t="n">
        <v>66.7</v>
      </c>
      <c r="Q794" s="0" t="str">
        <f aca="false">IF($C794="Control",$P794,"")</f>
        <v/>
      </c>
      <c r="R794" s="3" t="n">
        <f aca="false">IF($C794="Treatment",$P794,"")</f>
        <v>66.7</v>
      </c>
      <c r="S794" s="0" t="str">
        <f aca="false">IF(AND($C794="Control",$K794=1),$L794,"")</f>
        <v/>
      </c>
      <c r="T794" s="0" t="str">
        <f aca="false">IF(AND($C794="Treatment",$K794=1),$L794,"")</f>
        <v/>
      </c>
    </row>
    <row r="795" customFormat="false" ht="15" hidden="false" customHeight="false" outlineLevel="0" collapsed="false">
      <c r="A795" s="0" t="s">
        <v>826</v>
      </c>
      <c r="B795" s="2" t="n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P795" s="0" t="n">
        <v>39.4</v>
      </c>
      <c r="Q795" s="0" t="str">
        <f aca="false">IF($C795="Control",$P795,"")</f>
        <v/>
      </c>
      <c r="R795" s="3" t="n">
        <f aca="false">IF($C795="Treatment",$P795,"")</f>
        <v>39.4</v>
      </c>
      <c r="S795" s="0" t="str">
        <f aca="false">IF(AND($C795="Control",$K795=1),$L795,"")</f>
        <v/>
      </c>
      <c r="T795" s="0" t="str">
        <f aca="false">IF(AND($C795="Treatment",$K795=1),$L795,"")</f>
        <v/>
      </c>
    </row>
    <row r="796" customFormat="false" ht="15" hidden="false" customHeight="false" outlineLevel="0" collapsed="false">
      <c r="A796" s="0" t="s">
        <v>827</v>
      </c>
      <c r="B796" s="2" t="n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3</v>
      </c>
      <c r="N796" s="0" t="n">
        <v>0</v>
      </c>
      <c r="P796" s="0" t="n">
        <v>67</v>
      </c>
      <c r="Q796" s="0" t="str">
        <f aca="false">IF($C796="Control",$P796,"")</f>
        <v/>
      </c>
      <c r="R796" s="3" t="n">
        <f aca="false">IF($C796="Treatment",$P796,"")</f>
        <v>67</v>
      </c>
      <c r="S796" s="0" t="str">
        <f aca="false">IF(AND($C796="Control",$K796=1),$L796,"")</f>
        <v/>
      </c>
      <c r="T796" s="0" t="str">
        <f aca="false">IF(AND($C796="Treatment",$K796=1),$L796,"")</f>
        <v/>
      </c>
    </row>
    <row r="797" customFormat="false" ht="15" hidden="false" customHeight="false" outlineLevel="0" collapsed="false">
      <c r="A797" s="0" t="s">
        <v>828</v>
      </c>
      <c r="B797" s="2" t="n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0" t="n">
        <v>1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P797" s="0" t="n">
        <v>50.4</v>
      </c>
      <c r="Q797" s="0" t="str">
        <f aca="false">IF($C797="Control",$P797,"")</f>
        <v/>
      </c>
      <c r="R797" s="3" t="n">
        <f aca="false">IF($C797="Treatment",$P797,"")</f>
        <v>50.4</v>
      </c>
      <c r="S797" s="0" t="str">
        <f aca="false">IF(AND($C797="Control",$K797=1),$L797,"")</f>
        <v/>
      </c>
      <c r="T797" s="0" t="str">
        <f aca="false">IF(AND($C797="Treatment",$K797=1),$L797,"")</f>
        <v/>
      </c>
    </row>
    <row r="798" customFormat="false" ht="15" hidden="false" customHeight="false" outlineLevel="0" collapsed="false">
      <c r="A798" s="0" t="s">
        <v>829</v>
      </c>
      <c r="B798" s="2" t="n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0" t="n">
        <v>1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P798" s="0" t="n">
        <v>53.8</v>
      </c>
      <c r="Q798" s="0" t="str">
        <f aca="false">IF($C798="Control",$P798,"")</f>
        <v/>
      </c>
      <c r="R798" s="3" t="n">
        <f aca="false">IF($C798="Treatment",$P798,"")</f>
        <v>53.8</v>
      </c>
      <c r="S798" s="0" t="str">
        <f aca="false">IF(AND($C798="Control",$K798=1),$L798,"")</f>
        <v/>
      </c>
      <c r="T798" s="0" t="str">
        <f aca="false">IF(AND($C798="Treatment",$K798=1),$L798,"")</f>
        <v/>
      </c>
    </row>
    <row r="799" customFormat="false" ht="15" hidden="false" customHeight="false" outlineLevel="0" collapsed="false">
      <c r="A799" s="0" t="s">
        <v>830</v>
      </c>
      <c r="B799" s="2" t="n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0</v>
      </c>
      <c r="P799" s="0" t="n">
        <v>82.7</v>
      </c>
      <c r="Q799" s="0" t="str">
        <f aca="false">IF($C799="Control",$P799,"")</f>
        <v/>
      </c>
      <c r="R799" s="3" t="n">
        <f aca="false">IF($C799="Treatment",$P799,"")</f>
        <v>82.7</v>
      </c>
      <c r="S799" s="0" t="str">
        <f aca="false">IF(AND($C799="Control",$K799=1),$L799,"")</f>
        <v/>
      </c>
      <c r="T799" s="0" t="str">
        <f aca="false">IF(AND($C799="Treatment",$K799=1),$L799,"")</f>
        <v/>
      </c>
    </row>
    <row r="800" customFormat="false" ht="15" hidden="false" customHeight="false" outlineLevel="0" collapsed="false">
      <c r="A800" s="0" t="s">
        <v>831</v>
      </c>
      <c r="B800" s="2" t="n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0" t="n">
        <v>1</v>
      </c>
      <c r="I800" s="0" t="n">
        <v>1</v>
      </c>
      <c r="J800" s="0" t="n">
        <v>1</v>
      </c>
      <c r="K800" s="0" t="n">
        <v>0</v>
      </c>
      <c r="L800" s="0" t="n">
        <v>0</v>
      </c>
      <c r="M800" s="0" t="n">
        <v>0</v>
      </c>
      <c r="N800" s="0" t="n">
        <v>0</v>
      </c>
      <c r="P800" s="0" t="n">
        <v>63.9</v>
      </c>
      <c r="Q800" s="0" t="str">
        <f aca="false">IF($C800="Control",$P800,"")</f>
        <v/>
      </c>
      <c r="R800" s="3" t="n">
        <f aca="false">IF($C800="Treatment",$P800,"")</f>
        <v>63.9</v>
      </c>
      <c r="S800" s="0" t="str">
        <f aca="false">IF(AND($C800="Control",$K800=1),$L800,"")</f>
        <v/>
      </c>
      <c r="T800" s="0" t="str">
        <f aca="false">IF(AND($C800="Treatment",$K800=1),$L800,"")</f>
        <v/>
      </c>
    </row>
    <row r="801" customFormat="false" ht="15" hidden="false" customHeight="false" outlineLevel="0" collapsed="false">
      <c r="A801" s="0" t="s">
        <v>832</v>
      </c>
      <c r="B801" s="2" t="n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0" t="n">
        <v>1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P801" s="0" t="n">
        <v>61.9</v>
      </c>
      <c r="Q801" s="0" t="str">
        <f aca="false">IF($C801="Control",$P801,"")</f>
        <v/>
      </c>
      <c r="R801" s="3" t="n">
        <f aca="false">IF($C801="Treatment",$P801,"")</f>
        <v>61.9</v>
      </c>
      <c r="S801" s="0" t="str">
        <f aca="false">IF(AND($C801="Control",$K801=1),$L801,"")</f>
        <v/>
      </c>
      <c r="T801" s="0" t="str">
        <f aca="false">IF(AND($C801="Treatment",$K801=1),$L801,"")</f>
        <v/>
      </c>
    </row>
    <row r="802" customFormat="false" ht="15" hidden="false" customHeight="false" outlineLevel="0" collapsed="false">
      <c r="A802" s="0" t="s">
        <v>833</v>
      </c>
      <c r="B802" s="2" t="n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0" t="n">
        <v>1</v>
      </c>
      <c r="I802" s="0" t="n">
        <v>1</v>
      </c>
      <c r="J802" s="0" t="n">
        <v>1</v>
      </c>
      <c r="K802" s="0" t="n">
        <v>0</v>
      </c>
      <c r="L802" s="0" t="n">
        <v>0</v>
      </c>
      <c r="M802" s="0" t="n">
        <v>0</v>
      </c>
      <c r="N802" s="0" t="n">
        <v>0</v>
      </c>
      <c r="P802" s="0" t="n">
        <v>75</v>
      </c>
      <c r="Q802" s="0" t="str">
        <f aca="false">IF($C802="Control",$P802,"")</f>
        <v/>
      </c>
      <c r="R802" s="3" t="n">
        <f aca="false">IF($C802="Treatment",$P802,"")</f>
        <v>75</v>
      </c>
      <c r="S802" s="0" t="str">
        <f aca="false">IF(AND($C802="Control",$K802=1),$L802,"")</f>
        <v/>
      </c>
      <c r="T802" s="0" t="str">
        <f aca="false">IF(AND($C802="Treatment",$K802=1),$L802,"")</f>
        <v/>
      </c>
    </row>
    <row r="803" customFormat="false" ht="15" hidden="false" customHeight="false" outlineLevel="0" collapsed="false">
      <c r="A803" s="0" t="s">
        <v>834</v>
      </c>
      <c r="B803" s="2" t="n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0" t="n">
        <v>1</v>
      </c>
      <c r="I803" s="0" t="n">
        <v>1</v>
      </c>
      <c r="J803" s="0" t="n">
        <v>1</v>
      </c>
      <c r="K803" s="0" t="n">
        <v>0</v>
      </c>
      <c r="L803" s="0" t="n">
        <v>0</v>
      </c>
      <c r="M803" s="0" t="n">
        <v>0</v>
      </c>
      <c r="N803" s="0" t="n">
        <v>0</v>
      </c>
      <c r="P803" s="0" t="n">
        <v>43</v>
      </c>
      <c r="Q803" s="0" t="str">
        <f aca="false">IF($C803="Control",$P803,"")</f>
        <v/>
      </c>
      <c r="R803" s="3" t="n">
        <f aca="false">IF($C803="Treatment",$P803,"")</f>
        <v>43</v>
      </c>
      <c r="S803" s="0" t="str">
        <f aca="false">IF(AND($C803="Control",$K803=1),$L803,"")</f>
        <v/>
      </c>
      <c r="T803" s="0" t="str">
        <f aca="false">IF(AND($C803="Treatment",$K803=1),$L803,"")</f>
        <v/>
      </c>
    </row>
    <row r="804" customFormat="false" ht="15" hidden="false" customHeight="false" outlineLevel="0" collapsed="false">
      <c r="A804" s="0" t="s">
        <v>835</v>
      </c>
      <c r="B804" s="2" t="n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P804" s="0" t="n">
        <v>54.3</v>
      </c>
      <c r="Q804" s="0" t="str">
        <f aca="false">IF($C804="Control",$P804,"")</f>
        <v/>
      </c>
      <c r="R804" s="3" t="n">
        <f aca="false">IF($C804="Treatment",$P804,"")</f>
        <v>54.3</v>
      </c>
      <c r="S804" s="0" t="str">
        <f aca="false">IF(AND($C804="Control",$K804=1),$L804,"")</f>
        <v/>
      </c>
      <c r="T804" s="0" t="str">
        <f aca="false">IF(AND($C804="Treatment",$K804=1),$L804,"")</f>
        <v/>
      </c>
    </row>
    <row r="805" customFormat="false" ht="15" hidden="false" customHeight="false" outlineLevel="0" collapsed="false">
      <c r="A805" s="0" t="s">
        <v>836</v>
      </c>
      <c r="B805" s="2" t="n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</v>
      </c>
      <c r="N805" s="0" t="n">
        <v>0</v>
      </c>
      <c r="P805" s="0" t="n">
        <v>44.3</v>
      </c>
      <c r="Q805" s="0" t="str">
        <f aca="false">IF($C805="Control",$P805,"")</f>
        <v/>
      </c>
      <c r="R805" s="3" t="n">
        <f aca="false">IF($C805="Treatment",$P805,"")</f>
        <v>44.3</v>
      </c>
      <c r="S805" s="0" t="str">
        <f aca="false">IF(AND($C805="Control",$K805=1),$L805,"")</f>
        <v/>
      </c>
      <c r="T805" s="0" t="str">
        <f aca="false">IF(AND($C805="Treatment",$K805=1),$L805,"")</f>
        <v/>
      </c>
    </row>
    <row r="806" customFormat="false" ht="15" hidden="false" customHeight="false" outlineLevel="0" collapsed="false">
      <c r="A806" s="0" t="s">
        <v>837</v>
      </c>
      <c r="B806" s="2" t="n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0" t="n">
        <v>1</v>
      </c>
      <c r="I806" s="0" t="n">
        <v>1</v>
      </c>
      <c r="J806" s="0" t="n">
        <v>1</v>
      </c>
      <c r="K806" s="0" t="n">
        <v>1</v>
      </c>
      <c r="L806" s="0" t="n">
        <v>402.88</v>
      </c>
      <c r="M806" s="0" t="n">
        <v>0</v>
      </c>
      <c r="N806" s="0" t="n">
        <v>0</v>
      </c>
      <c r="O806" s="0" t="n">
        <v>12</v>
      </c>
      <c r="P806" s="0" t="n">
        <v>76</v>
      </c>
      <c r="Q806" s="0" t="str">
        <f aca="false">IF($C806="Control",$P806,"")</f>
        <v/>
      </c>
      <c r="R806" s="3" t="n">
        <f aca="false">IF($C806="Treatment",$P806,"")</f>
        <v>76</v>
      </c>
      <c r="S806" s="0" t="str">
        <f aca="false">IF(AND($C806="Control",$K806=1),$L806,"")</f>
        <v/>
      </c>
      <c r="T806" s="3" t="n">
        <f aca="false">IF(AND($C806="Treatment",$K806=1),$L806,"")</f>
        <v>402.88</v>
      </c>
    </row>
    <row r="807" customFormat="false" ht="15" hidden="false" customHeight="false" outlineLevel="0" collapsed="false">
      <c r="A807" s="0" t="s">
        <v>838</v>
      </c>
      <c r="B807" s="2" t="n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0" t="n">
        <v>1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2</v>
      </c>
      <c r="N807" s="0" t="n">
        <v>0</v>
      </c>
      <c r="P807" s="0" t="n">
        <v>65.3</v>
      </c>
      <c r="Q807" s="0" t="str">
        <f aca="false">IF($C807="Control",$P807,"")</f>
        <v/>
      </c>
      <c r="R807" s="3" t="n">
        <f aca="false">IF($C807="Treatment",$P807,"")</f>
        <v>65.3</v>
      </c>
      <c r="S807" s="0" t="str">
        <f aca="false">IF(AND($C807="Control",$K807=1),$L807,"")</f>
        <v/>
      </c>
      <c r="T807" s="0" t="str">
        <f aca="false">IF(AND($C807="Treatment",$K807=1),$L807,"")</f>
        <v/>
      </c>
    </row>
    <row r="808" customFormat="false" ht="15" hidden="false" customHeight="false" outlineLevel="0" collapsed="false">
      <c r="A808" s="0" t="s">
        <v>839</v>
      </c>
      <c r="B808" s="2" t="n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0" t="n">
        <v>1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P808" s="0" t="n">
        <v>71.2</v>
      </c>
      <c r="Q808" s="0" t="str">
        <f aca="false">IF($C808="Control",$P808,"")</f>
        <v/>
      </c>
      <c r="R808" s="3" t="n">
        <f aca="false">IF($C808="Treatment",$P808,"")</f>
        <v>71.2</v>
      </c>
      <c r="S808" s="0" t="str">
        <f aca="false">IF(AND($C808="Control",$K808=1),$L808,"")</f>
        <v/>
      </c>
      <c r="T808" s="0" t="str">
        <f aca="false">IF(AND($C808="Treatment",$K808=1),$L808,"")</f>
        <v/>
      </c>
    </row>
    <row r="809" customFormat="false" ht="15" hidden="false" customHeight="false" outlineLevel="0" collapsed="false">
      <c r="A809" s="0" t="s">
        <v>840</v>
      </c>
      <c r="B809" s="2" t="n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0" t="n">
        <v>1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P809" s="0" t="n">
        <v>77.9</v>
      </c>
      <c r="Q809" s="0" t="str">
        <f aca="false">IF($C809="Control",$P809,"")</f>
        <v/>
      </c>
      <c r="R809" s="3" t="n">
        <f aca="false">IF($C809="Treatment",$P809,"")</f>
        <v>77.9</v>
      </c>
      <c r="S809" s="0" t="str">
        <f aca="false">IF(AND($C809="Control",$K809=1),$L809,"")</f>
        <v/>
      </c>
      <c r="T809" s="0" t="str">
        <f aca="false">IF(AND($C809="Treatment",$K809=1),$L809,"")</f>
        <v/>
      </c>
    </row>
    <row r="810" customFormat="false" ht="15" hidden="false" customHeight="false" outlineLevel="0" collapsed="false">
      <c r="A810" s="0" t="s">
        <v>841</v>
      </c>
      <c r="B810" s="2" t="n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P810" s="0" t="n">
        <v>48.6</v>
      </c>
      <c r="Q810" s="0" t="str">
        <f aca="false">IF($C810="Control",$P810,"")</f>
        <v/>
      </c>
      <c r="R810" s="3" t="n">
        <f aca="false">IF($C810="Treatment",$P810,"")</f>
        <v>48.6</v>
      </c>
      <c r="S810" s="0" t="str">
        <f aca="false">IF(AND($C810="Control",$K810=1),$L810,"")</f>
        <v/>
      </c>
      <c r="T810" s="0" t="str">
        <f aca="false">IF(AND($C810="Treatment",$K810=1),$L810,"")</f>
        <v/>
      </c>
    </row>
    <row r="811" customFormat="false" ht="15" hidden="false" customHeight="false" outlineLevel="0" collapsed="false">
      <c r="A811" s="0" t="s">
        <v>842</v>
      </c>
      <c r="B811" s="2" t="n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P811" s="0" t="n">
        <v>61.9</v>
      </c>
      <c r="Q811" s="0" t="str">
        <f aca="false">IF($C811="Control",$P811,"")</f>
        <v/>
      </c>
      <c r="R811" s="3" t="n">
        <f aca="false">IF($C811="Treatment",$P811,"")</f>
        <v>61.9</v>
      </c>
      <c r="S811" s="0" t="str">
        <f aca="false">IF(AND($C811="Control",$K811=1),$L811,"")</f>
        <v/>
      </c>
      <c r="T811" s="0" t="str">
        <f aca="false">IF(AND($C811="Treatment",$K811=1),$L811,"")</f>
        <v/>
      </c>
    </row>
    <row r="812" customFormat="false" ht="15" hidden="false" customHeight="false" outlineLevel="0" collapsed="false">
      <c r="A812" s="0" t="s">
        <v>843</v>
      </c>
      <c r="B812" s="2" t="n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0</v>
      </c>
      <c r="P812" s="0" t="n">
        <v>58.7</v>
      </c>
      <c r="Q812" s="0" t="str">
        <f aca="false">IF($C812="Control",$P812,"")</f>
        <v/>
      </c>
      <c r="R812" s="3" t="n">
        <f aca="false">IF($C812="Treatment",$P812,"")</f>
        <v>58.7</v>
      </c>
      <c r="S812" s="0" t="str">
        <f aca="false">IF(AND($C812="Control",$K812=1),$L812,"")</f>
        <v/>
      </c>
      <c r="T812" s="0" t="str">
        <f aca="false">IF(AND($C812="Treatment",$K812=1),$L812,"")</f>
        <v/>
      </c>
    </row>
    <row r="813" customFormat="false" ht="15" hidden="false" customHeight="false" outlineLevel="0" collapsed="false">
      <c r="A813" s="0" t="s">
        <v>844</v>
      </c>
      <c r="B813" s="2" t="n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0" t="n">
        <v>1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P813" s="0" t="n">
        <v>69.6</v>
      </c>
      <c r="Q813" s="0" t="str">
        <f aca="false">IF($C813="Control",$P813,"")</f>
        <v/>
      </c>
      <c r="R813" s="3" t="n">
        <f aca="false">IF($C813="Treatment",$P813,"")</f>
        <v>69.6</v>
      </c>
      <c r="S813" s="0" t="str">
        <f aca="false">IF(AND($C813="Control",$K813=1),$L813,"")</f>
        <v/>
      </c>
      <c r="T813" s="0" t="str">
        <f aca="false">IF(AND($C813="Treatment",$K813=1),$L813,"")</f>
        <v/>
      </c>
    </row>
    <row r="814" customFormat="false" ht="15" hidden="false" customHeight="false" outlineLevel="0" collapsed="false">
      <c r="A814" s="0" t="s">
        <v>845</v>
      </c>
      <c r="B814" s="2" t="n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0" t="n">
        <v>1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P814" s="0" t="n">
        <v>51.5</v>
      </c>
      <c r="Q814" s="0" t="str">
        <f aca="false">IF($C814="Control",$P814,"")</f>
        <v/>
      </c>
      <c r="R814" s="3" t="n">
        <f aca="false">IF($C814="Treatment",$P814,"")</f>
        <v>51.5</v>
      </c>
      <c r="S814" s="0" t="str">
        <f aca="false">IF(AND($C814="Control",$K814=1),$L814,"")</f>
        <v/>
      </c>
      <c r="T814" s="0" t="str">
        <f aca="false">IF(AND($C814="Treatment",$K814=1),$L814,"")</f>
        <v/>
      </c>
    </row>
    <row r="815" customFormat="false" ht="15" hidden="false" customHeight="false" outlineLevel="0" collapsed="false">
      <c r="A815" s="0" t="s">
        <v>846</v>
      </c>
      <c r="B815" s="2" t="n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0" t="n">
        <v>1</v>
      </c>
      <c r="I815" s="0" t="n">
        <v>1</v>
      </c>
      <c r="J815" s="0" t="n">
        <v>1</v>
      </c>
      <c r="K815" s="0" t="n">
        <v>1</v>
      </c>
      <c r="L815" s="0" t="n">
        <v>277.69</v>
      </c>
      <c r="M815" s="0" t="n">
        <v>3</v>
      </c>
      <c r="N815" s="0" t="n">
        <v>0</v>
      </c>
      <c r="O815" s="0" t="n">
        <v>8</v>
      </c>
      <c r="P815" s="0" t="n">
        <v>46</v>
      </c>
      <c r="Q815" s="0" t="str">
        <f aca="false">IF($C815="Control",$P815,"")</f>
        <v/>
      </c>
      <c r="R815" s="3" t="n">
        <f aca="false">IF($C815="Treatment",$P815,"")</f>
        <v>46</v>
      </c>
      <c r="S815" s="0" t="str">
        <f aca="false">IF(AND($C815="Control",$K815=1),$L815,"")</f>
        <v/>
      </c>
      <c r="T815" s="3" t="n">
        <f aca="false">IF(AND($C815="Treatment",$K815=1),$L815,"")</f>
        <v>277.69</v>
      </c>
    </row>
    <row r="816" customFormat="false" ht="15" hidden="false" customHeight="false" outlineLevel="0" collapsed="false">
      <c r="A816" s="0" t="s">
        <v>847</v>
      </c>
      <c r="B816" s="2" t="n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0" t="n">
        <v>1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P816" s="0" t="n">
        <v>81.7</v>
      </c>
      <c r="Q816" s="0" t="str">
        <f aca="false">IF($C816="Control",$P816,"")</f>
        <v/>
      </c>
      <c r="R816" s="3" t="n">
        <f aca="false">IF($C816="Treatment",$P816,"")</f>
        <v>81.7</v>
      </c>
      <c r="S816" s="0" t="str">
        <f aca="false">IF(AND($C816="Control",$K816=1),$L816,"")</f>
        <v/>
      </c>
      <c r="T816" s="0" t="str">
        <f aca="false">IF(AND($C816="Treatment",$K816=1),$L816,"")</f>
        <v/>
      </c>
    </row>
    <row r="817" customFormat="false" ht="15" hidden="false" customHeight="false" outlineLevel="0" collapsed="false">
      <c r="A817" s="0" t="s">
        <v>848</v>
      </c>
      <c r="B817" s="2" t="n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0" t="n">
        <v>1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P817" s="0" t="n">
        <v>48.3</v>
      </c>
      <c r="Q817" s="0" t="str">
        <f aca="false">IF($C817="Control",$P817,"")</f>
        <v/>
      </c>
      <c r="R817" s="3" t="n">
        <f aca="false">IF($C817="Treatment",$P817,"")</f>
        <v>48.3</v>
      </c>
      <c r="S817" s="0" t="str">
        <f aca="false">IF(AND($C817="Control",$K817=1),$L817,"")</f>
        <v/>
      </c>
      <c r="T817" s="0" t="str">
        <f aca="false">IF(AND($C817="Treatment",$K817=1),$L817,"")</f>
        <v/>
      </c>
    </row>
    <row r="818" customFormat="false" ht="15" hidden="false" customHeight="false" outlineLevel="0" collapsed="false">
      <c r="A818" s="0" t="s">
        <v>849</v>
      </c>
      <c r="B818" s="2" t="n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0" t="n">
        <v>1</v>
      </c>
      <c r="I818" s="0" t="n">
        <v>1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P818" s="0" t="n">
        <v>85.6</v>
      </c>
      <c r="Q818" s="0" t="str">
        <f aca="false">IF($C818="Control",$P818,"")</f>
        <v/>
      </c>
      <c r="R818" s="3" t="n">
        <f aca="false">IF($C818="Treatment",$P818,"")</f>
        <v>85.6</v>
      </c>
      <c r="S818" s="0" t="str">
        <f aca="false">IF(AND($C818="Control",$K818=1),$L818,"")</f>
        <v/>
      </c>
      <c r="T818" s="0" t="str">
        <f aca="false">IF(AND($C818="Treatment",$K818=1),$L818,"")</f>
        <v/>
      </c>
    </row>
    <row r="819" customFormat="false" ht="15" hidden="false" customHeight="false" outlineLevel="0" collapsed="false">
      <c r="A819" s="0" t="s">
        <v>850</v>
      </c>
      <c r="B819" s="2" t="n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0" t="n">
        <v>1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P819" s="0" t="n">
        <v>53.8</v>
      </c>
      <c r="Q819" s="0" t="str">
        <f aca="false">IF($C819="Control",$P819,"")</f>
        <v/>
      </c>
      <c r="R819" s="3" t="n">
        <f aca="false">IF($C819="Treatment",$P819,"")</f>
        <v>53.8</v>
      </c>
      <c r="S819" s="0" t="str">
        <f aca="false">IF(AND($C819="Control",$K819=1),$L819,"")</f>
        <v/>
      </c>
      <c r="T819" s="0" t="str">
        <f aca="false">IF(AND($C819="Treatment",$K819=1),$L819,"")</f>
        <v/>
      </c>
    </row>
    <row r="820" customFormat="false" ht="15" hidden="false" customHeight="false" outlineLevel="0" collapsed="false">
      <c r="A820" s="0" t="s">
        <v>851</v>
      </c>
      <c r="B820" s="2" t="n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0" t="n">
        <v>1</v>
      </c>
      <c r="I820" s="0" t="n">
        <v>1</v>
      </c>
      <c r="J820" s="0" t="n">
        <v>1</v>
      </c>
      <c r="K820" s="0" t="n">
        <v>1</v>
      </c>
      <c r="L820" s="0" t="n">
        <v>460.83</v>
      </c>
      <c r="M820" s="0" t="n">
        <v>2</v>
      </c>
      <c r="N820" s="0" t="n">
        <v>0</v>
      </c>
      <c r="O820" s="0" t="n">
        <v>0</v>
      </c>
      <c r="P820" s="0" t="n">
        <v>69.7</v>
      </c>
      <c r="Q820" s="0" t="str">
        <f aca="false">IF($C820="Control",$P820,"")</f>
        <v/>
      </c>
      <c r="R820" s="3" t="n">
        <f aca="false">IF($C820="Treatment",$P820,"")</f>
        <v>69.7</v>
      </c>
      <c r="S820" s="0" t="str">
        <f aca="false">IF(AND($C820="Control",$K820=1),$L820,"")</f>
        <v/>
      </c>
      <c r="T820" s="3" t="n">
        <f aca="false">IF(AND($C820="Treatment",$K820=1),$L820,"")</f>
        <v>460.83</v>
      </c>
    </row>
    <row r="821" customFormat="false" ht="15" hidden="false" customHeight="false" outlineLevel="0" collapsed="false">
      <c r="A821" s="0" t="s">
        <v>852</v>
      </c>
      <c r="B821" s="2" t="n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0" t="n">
        <v>1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P821" s="0" t="n">
        <v>74.8</v>
      </c>
      <c r="Q821" s="0" t="str">
        <f aca="false">IF($C821="Control",$P821,"")</f>
        <v/>
      </c>
      <c r="R821" s="3" t="n">
        <f aca="false">IF($C821="Treatment",$P821,"")</f>
        <v>74.8</v>
      </c>
      <c r="S821" s="0" t="str">
        <f aca="false">IF(AND($C821="Control",$K821=1),$L821,"")</f>
        <v/>
      </c>
      <c r="T821" s="0" t="str">
        <f aca="false">IF(AND($C821="Treatment",$K821=1),$L821,"")</f>
        <v/>
      </c>
    </row>
    <row r="822" customFormat="false" ht="15" hidden="false" customHeight="false" outlineLevel="0" collapsed="false">
      <c r="A822" s="0" t="s">
        <v>853</v>
      </c>
      <c r="B822" s="2" t="n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P822" s="0" t="n">
        <v>87.9</v>
      </c>
      <c r="Q822" s="0" t="str">
        <f aca="false">IF($C822="Control",$P822,"")</f>
        <v/>
      </c>
      <c r="R822" s="3" t="n">
        <f aca="false">IF($C822="Treatment",$P822,"")</f>
        <v>87.9</v>
      </c>
      <c r="S822" s="0" t="str">
        <f aca="false">IF(AND($C822="Control",$K822=1),$L822,"")</f>
        <v/>
      </c>
      <c r="T822" s="0" t="str">
        <f aca="false">IF(AND($C822="Treatment",$K822=1),$L822,"")</f>
        <v/>
      </c>
    </row>
    <row r="823" customFormat="false" ht="15" hidden="false" customHeight="false" outlineLevel="0" collapsed="false">
      <c r="A823" s="0" t="s">
        <v>854</v>
      </c>
      <c r="B823" s="2" t="n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0" t="n">
        <v>1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0</v>
      </c>
      <c r="P823" s="0" t="n">
        <v>49.1</v>
      </c>
      <c r="Q823" s="0" t="str">
        <f aca="false">IF($C823="Control",$P823,"")</f>
        <v/>
      </c>
      <c r="R823" s="3" t="n">
        <f aca="false">IF($C823="Treatment",$P823,"")</f>
        <v>49.1</v>
      </c>
      <c r="S823" s="0" t="str">
        <f aca="false">IF(AND($C823="Control",$K823=1),$L823,"")</f>
        <v/>
      </c>
      <c r="T823" s="0" t="str">
        <f aca="false">IF(AND($C823="Treatment",$K823=1),$L823,"")</f>
        <v/>
      </c>
    </row>
    <row r="824" customFormat="false" ht="15" hidden="false" customHeight="false" outlineLevel="0" collapsed="false">
      <c r="A824" s="0" t="s">
        <v>855</v>
      </c>
      <c r="B824" s="2" t="n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0" t="n">
        <v>1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2</v>
      </c>
      <c r="N824" s="0" t="n">
        <v>0</v>
      </c>
      <c r="P824" s="0" t="n">
        <v>73</v>
      </c>
      <c r="Q824" s="0" t="str">
        <f aca="false">IF($C824="Control",$P824,"")</f>
        <v/>
      </c>
      <c r="R824" s="3" t="n">
        <f aca="false">IF($C824="Treatment",$P824,"")</f>
        <v>73</v>
      </c>
      <c r="S824" s="0" t="str">
        <f aca="false">IF(AND($C824="Control",$K824=1),$L824,"")</f>
        <v/>
      </c>
      <c r="T824" s="0" t="str">
        <f aca="false">IF(AND($C824="Treatment",$K824=1),$L824,"")</f>
        <v/>
      </c>
    </row>
    <row r="825" customFormat="false" ht="15" hidden="false" customHeight="false" outlineLevel="0" collapsed="false">
      <c r="A825" s="0" t="s">
        <v>856</v>
      </c>
      <c r="B825" s="2" t="n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P825" s="0" t="n">
        <v>79.5</v>
      </c>
      <c r="Q825" s="0" t="str">
        <f aca="false">IF($C825="Control",$P825,"")</f>
        <v/>
      </c>
      <c r="R825" s="3" t="n">
        <f aca="false">IF($C825="Treatment",$P825,"")</f>
        <v>79.5</v>
      </c>
      <c r="S825" s="0" t="str">
        <f aca="false">IF(AND($C825="Control",$K825=1),$L825,"")</f>
        <v/>
      </c>
      <c r="T825" s="0" t="str">
        <f aca="false">IF(AND($C825="Treatment",$K825=1),$L825,"")</f>
        <v/>
      </c>
    </row>
    <row r="826" customFormat="false" ht="15" hidden="false" customHeight="false" outlineLevel="0" collapsed="false">
      <c r="A826" s="0" t="s">
        <v>857</v>
      </c>
      <c r="B826" s="2" t="n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0" t="n">
        <v>1</v>
      </c>
      <c r="I826" s="0" t="n">
        <v>1</v>
      </c>
      <c r="J826" s="0" t="n">
        <v>1</v>
      </c>
      <c r="K826" s="0" t="n">
        <v>1</v>
      </c>
      <c r="L826" s="0" t="n">
        <v>782.23</v>
      </c>
      <c r="M826" s="0" t="n">
        <v>1</v>
      </c>
      <c r="N826" s="0" t="n">
        <v>0</v>
      </c>
      <c r="O826" s="0" t="n">
        <v>6</v>
      </c>
      <c r="P826" s="0" t="n">
        <v>93.2</v>
      </c>
      <c r="Q826" s="0" t="str">
        <f aca="false">IF($C826="Control",$P826,"")</f>
        <v/>
      </c>
      <c r="R826" s="3" t="n">
        <f aca="false">IF($C826="Treatment",$P826,"")</f>
        <v>93.2</v>
      </c>
      <c r="S826" s="0" t="str">
        <f aca="false">IF(AND($C826="Control",$K826=1),$L826,"")</f>
        <v/>
      </c>
      <c r="T826" s="3" t="n">
        <f aca="false">IF(AND($C826="Treatment",$K826=1),$L826,"")</f>
        <v>782.23</v>
      </c>
    </row>
    <row r="827" customFormat="false" ht="15" hidden="false" customHeight="false" outlineLevel="0" collapsed="false">
      <c r="A827" s="0" t="s">
        <v>858</v>
      </c>
      <c r="B827" s="2" t="n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0" t="n">
        <v>1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3</v>
      </c>
      <c r="N827" s="0" t="n">
        <v>0</v>
      </c>
      <c r="P827" s="0" t="n">
        <v>77.5</v>
      </c>
      <c r="Q827" s="0" t="str">
        <f aca="false">IF($C827="Control",$P827,"")</f>
        <v/>
      </c>
      <c r="R827" s="3" t="n">
        <f aca="false">IF($C827="Treatment",$P827,"")</f>
        <v>77.5</v>
      </c>
      <c r="S827" s="0" t="str">
        <f aca="false">IF(AND($C827="Control",$K827=1),$L827,"")</f>
        <v/>
      </c>
      <c r="T827" s="0" t="str">
        <f aca="false">IF(AND($C827="Treatment",$K827=1),$L827,"")</f>
        <v/>
      </c>
    </row>
    <row r="828" customFormat="false" ht="15" hidden="false" customHeight="false" outlineLevel="0" collapsed="false">
      <c r="A828" s="0" t="s">
        <v>859</v>
      </c>
      <c r="B828" s="2" t="n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0" t="n">
        <v>1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P828" s="0" t="n">
        <v>61</v>
      </c>
      <c r="Q828" s="0" t="str">
        <f aca="false">IF($C828="Control",$P828,"")</f>
        <v/>
      </c>
      <c r="R828" s="3" t="n">
        <f aca="false">IF($C828="Treatment",$P828,"")</f>
        <v>61</v>
      </c>
      <c r="S828" s="0" t="str">
        <f aca="false">IF(AND($C828="Control",$K828=1),$L828,"")</f>
        <v/>
      </c>
      <c r="T828" s="0" t="str">
        <f aca="false">IF(AND($C828="Treatment",$K828=1),$L828,"")</f>
        <v/>
      </c>
    </row>
    <row r="829" customFormat="false" ht="15" hidden="false" customHeight="false" outlineLevel="0" collapsed="false">
      <c r="A829" s="0" t="s">
        <v>860</v>
      </c>
      <c r="B829" s="2" t="n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0" t="n">
        <v>1</v>
      </c>
      <c r="I829" s="0" t="n">
        <v>1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P829" s="0" t="n">
        <v>64.9</v>
      </c>
      <c r="Q829" s="0" t="str">
        <f aca="false">IF($C829="Control",$P829,"")</f>
        <v/>
      </c>
      <c r="R829" s="3" t="n">
        <f aca="false">IF($C829="Treatment",$P829,"")</f>
        <v>64.9</v>
      </c>
      <c r="S829" s="0" t="str">
        <f aca="false">IF(AND($C829="Control",$K829=1),$L829,"")</f>
        <v/>
      </c>
      <c r="T829" s="0" t="str">
        <f aca="false">IF(AND($C829="Treatment",$K829=1),$L829,"")</f>
        <v/>
      </c>
    </row>
    <row r="830" customFormat="false" ht="15" hidden="false" customHeight="false" outlineLevel="0" collapsed="false">
      <c r="A830" s="0" t="s">
        <v>861</v>
      </c>
      <c r="B830" s="2" t="n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0" t="n">
        <v>1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P830" s="0" t="n">
        <v>87.5</v>
      </c>
      <c r="Q830" s="0" t="str">
        <f aca="false">IF($C830="Control",$P830,"")</f>
        <v/>
      </c>
      <c r="R830" s="3" t="n">
        <f aca="false">IF($C830="Treatment",$P830,"")</f>
        <v>87.5</v>
      </c>
      <c r="S830" s="0" t="str">
        <f aca="false">IF(AND($C830="Control",$K830=1),$L830,"")</f>
        <v/>
      </c>
      <c r="T830" s="0" t="str">
        <f aca="false">IF(AND($C830="Treatment",$K830=1),$L830,"")</f>
        <v/>
      </c>
    </row>
    <row r="831" customFormat="false" ht="15" hidden="false" customHeight="false" outlineLevel="0" collapsed="false">
      <c r="A831" s="0" t="s">
        <v>862</v>
      </c>
      <c r="B831" s="2" t="n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0" t="n">
        <v>1</v>
      </c>
      <c r="I831" s="0" t="n">
        <v>1</v>
      </c>
      <c r="J831" s="0" t="n">
        <v>1</v>
      </c>
      <c r="K831" s="0" t="n">
        <v>1</v>
      </c>
      <c r="L831" s="0" t="n">
        <v>1171.99</v>
      </c>
      <c r="M831" s="0" t="n">
        <v>0</v>
      </c>
      <c r="N831" s="0" t="n">
        <v>0</v>
      </c>
      <c r="O831" s="0" t="n">
        <v>5</v>
      </c>
      <c r="P831" s="0" t="n">
        <v>80.6</v>
      </c>
      <c r="Q831" s="0" t="str">
        <f aca="false">IF($C831="Control",$P831,"")</f>
        <v/>
      </c>
      <c r="R831" s="3" t="n">
        <f aca="false">IF($C831="Treatment",$P831,"")</f>
        <v>80.6</v>
      </c>
      <c r="S831" s="0" t="str">
        <f aca="false">IF(AND($C831="Control",$K831=1),$L831,"")</f>
        <v/>
      </c>
      <c r="T831" s="3" t="n">
        <f aca="false">IF(AND($C831="Treatment",$K831=1),$L831,"")</f>
        <v>1171.99</v>
      </c>
    </row>
    <row r="832" customFormat="false" ht="15" hidden="false" customHeight="false" outlineLevel="0" collapsed="false">
      <c r="A832" s="0" t="s">
        <v>863</v>
      </c>
      <c r="B832" s="2" t="n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0" t="n">
        <v>1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P832" s="0" t="n">
        <v>66.9</v>
      </c>
      <c r="Q832" s="0" t="str">
        <f aca="false">IF($C832="Control",$P832,"")</f>
        <v/>
      </c>
      <c r="R832" s="3" t="n">
        <f aca="false">IF($C832="Treatment",$P832,"")</f>
        <v>66.9</v>
      </c>
      <c r="S832" s="0" t="str">
        <f aca="false">IF(AND($C832="Control",$K832=1),$L832,"")</f>
        <v/>
      </c>
      <c r="T832" s="0" t="str">
        <f aca="false">IF(AND($C832="Treatment",$K832=1),$L832,"")</f>
        <v/>
      </c>
    </row>
    <row r="833" customFormat="false" ht="15" hidden="false" customHeight="false" outlineLevel="0" collapsed="false">
      <c r="A833" s="0" t="s">
        <v>864</v>
      </c>
      <c r="B833" s="2" t="n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0" t="n">
        <v>1</v>
      </c>
      <c r="I833" s="0" t="n">
        <v>1</v>
      </c>
      <c r="J833" s="0" t="n">
        <v>1</v>
      </c>
      <c r="K833" s="0" t="n">
        <v>0</v>
      </c>
      <c r="L833" s="0" t="n">
        <v>0</v>
      </c>
      <c r="M833" s="0" t="n">
        <v>0</v>
      </c>
      <c r="N833" s="0" t="n">
        <v>0</v>
      </c>
      <c r="P833" s="0" t="n">
        <v>58.8</v>
      </c>
      <c r="Q833" s="0" t="str">
        <f aca="false">IF($C833="Control",$P833,"")</f>
        <v/>
      </c>
      <c r="R833" s="3" t="n">
        <f aca="false">IF($C833="Treatment",$P833,"")</f>
        <v>58.8</v>
      </c>
      <c r="S833" s="0" t="str">
        <f aca="false">IF(AND($C833="Control",$K833=1),$L833,"")</f>
        <v/>
      </c>
      <c r="T833" s="0" t="str">
        <f aca="false">IF(AND($C833="Treatment",$K833=1),$L833,"")</f>
        <v/>
      </c>
    </row>
    <row r="834" customFormat="false" ht="15" hidden="false" customHeight="false" outlineLevel="0" collapsed="false">
      <c r="A834" s="0" t="s">
        <v>865</v>
      </c>
      <c r="B834" s="2" t="n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0" t="n">
        <v>1</v>
      </c>
      <c r="I834" s="0" t="n">
        <v>1</v>
      </c>
      <c r="J834" s="0" t="n">
        <v>1</v>
      </c>
      <c r="K834" s="0" t="n">
        <v>1</v>
      </c>
      <c r="L834" s="0" t="n">
        <v>1010.4</v>
      </c>
      <c r="M834" s="0" t="n">
        <v>0</v>
      </c>
      <c r="N834" s="0" t="n">
        <v>0</v>
      </c>
      <c r="O834" s="0" t="n">
        <v>4</v>
      </c>
      <c r="P834" s="0" t="n">
        <v>42.9</v>
      </c>
      <c r="Q834" s="0" t="str">
        <f aca="false">IF($C834="Control",$P834,"")</f>
        <v/>
      </c>
      <c r="R834" s="3" t="n">
        <f aca="false">IF($C834="Treatment",$P834,"")</f>
        <v>42.9</v>
      </c>
      <c r="S834" s="0" t="str">
        <f aca="false">IF(AND($C834="Control",$K834=1),$L834,"")</f>
        <v/>
      </c>
      <c r="T834" s="3" t="n">
        <f aca="false">IF(AND($C834="Treatment",$K834=1),$L834,"")</f>
        <v>1010.4</v>
      </c>
    </row>
    <row r="835" customFormat="false" ht="15" hidden="false" customHeight="false" outlineLevel="0" collapsed="false">
      <c r="A835" s="0" t="s">
        <v>866</v>
      </c>
      <c r="B835" s="2" t="n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0" t="n">
        <v>1</v>
      </c>
      <c r="I835" s="0" t="n">
        <v>1</v>
      </c>
      <c r="J835" s="0" t="n">
        <v>1</v>
      </c>
      <c r="K835" s="0" t="n">
        <v>0</v>
      </c>
      <c r="L835" s="0" t="n">
        <v>0</v>
      </c>
      <c r="M835" s="0" t="n">
        <v>1</v>
      </c>
      <c r="N835" s="0" t="n">
        <v>0</v>
      </c>
      <c r="P835" s="0" t="n">
        <v>60.2</v>
      </c>
      <c r="Q835" s="0" t="str">
        <f aca="false">IF($C835="Control",$P835,"")</f>
        <v/>
      </c>
      <c r="R835" s="3" t="n">
        <f aca="false">IF($C835="Treatment",$P835,"")</f>
        <v>60.2</v>
      </c>
      <c r="S835" s="0" t="str">
        <f aca="false">IF(AND($C835="Control",$K835=1),$L835,"")</f>
        <v/>
      </c>
      <c r="T835" s="0" t="str">
        <f aca="false">IF(AND($C835="Treatment",$K835=1),$L835,"")</f>
        <v/>
      </c>
    </row>
    <row r="836" customFormat="false" ht="15" hidden="false" customHeight="false" outlineLevel="0" collapsed="false">
      <c r="A836" s="0" t="s">
        <v>867</v>
      </c>
      <c r="B836" s="2" t="n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0" t="n">
        <v>1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P836" s="0" t="n">
        <v>42.7</v>
      </c>
      <c r="Q836" s="0" t="str">
        <f aca="false">IF($C836="Control",$P836,"")</f>
        <v/>
      </c>
      <c r="R836" s="3" t="n">
        <f aca="false">IF($C836="Treatment",$P836,"")</f>
        <v>42.7</v>
      </c>
      <c r="S836" s="0" t="str">
        <f aca="false">IF(AND($C836="Control",$K836=1),$L836,"")</f>
        <v/>
      </c>
      <c r="T836" s="0" t="str">
        <f aca="false">IF(AND($C836="Treatment",$K836=1),$L836,"")</f>
        <v/>
      </c>
    </row>
    <row r="837" customFormat="false" ht="15" hidden="false" customHeight="false" outlineLevel="0" collapsed="false">
      <c r="A837" s="0" t="s">
        <v>868</v>
      </c>
      <c r="B837" s="2" t="n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0" t="n">
        <v>1</v>
      </c>
      <c r="I837" s="0" t="n">
        <v>1</v>
      </c>
      <c r="J837" s="0" t="n">
        <v>1</v>
      </c>
      <c r="K837" s="0" t="n">
        <v>1</v>
      </c>
      <c r="L837" s="0" t="n">
        <v>431.27</v>
      </c>
      <c r="M837" s="0" t="n">
        <v>0</v>
      </c>
      <c r="N837" s="0" t="n">
        <v>0</v>
      </c>
      <c r="O837" s="0" t="n">
        <v>7</v>
      </c>
      <c r="P837" s="0" t="n">
        <v>60.8</v>
      </c>
      <c r="Q837" s="0" t="str">
        <f aca="false">IF($C837="Control",$P837,"")</f>
        <v/>
      </c>
      <c r="R837" s="3" t="n">
        <f aca="false">IF($C837="Treatment",$P837,"")</f>
        <v>60.8</v>
      </c>
      <c r="S837" s="0" t="str">
        <f aca="false">IF(AND($C837="Control",$K837=1),$L837,"")</f>
        <v/>
      </c>
      <c r="T837" s="3" t="n">
        <f aca="false">IF(AND($C837="Treatment",$K837=1),$L837,"")</f>
        <v>431.27</v>
      </c>
    </row>
    <row r="838" customFormat="false" ht="15" hidden="false" customHeight="false" outlineLevel="0" collapsed="false">
      <c r="A838" s="0" t="s">
        <v>869</v>
      </c>
      <c r="B838" s="2" t="n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0" t="n">
        <v>1</v>
      </c>
      <c r="I838" s="0" t="n">
        <v>1</v>
      </c>
      <c r="J838" s="0" t="n">
        <v>1</v>
      </c>
      <c r="K838" s="0" t="n">
        <v>1</v>
      </c>
      <c r="L838" s="0" t="n">
        <v>428.8</v>
      </c>
      <c r="M838" s="0" t="n">
        <v>0</v>
      </c>
      <c r="N838" s="0" t="n">
        <v>0</v>
      </c>
      <c r="O838" s="0" t="n">
        <v>9</v>
      </c>
      <c r="P838" s="0" t="n">
        <v>79.3</v>
      </c>
      <c r="Q838" s="0" t="str">
        <f aca="false">IF($C838="Control",$P838,"")</f>
        <v/>
      </c>
      <c r="R838" s="3" t="n">
        <f aca="false">IF($C838="Treatment",$P838,"")</f>
        <v>79.3</v>
      </c>
      <c r="S838" s="0" t="str">
        <f aca="false">IF(AND($C838="Control",$K838=1),$L838,"")</f>
        <v/>
      </c>
      <c r="T838" s="3" t="n">
        <f aca="false">IF(AND($C838="Treatment",$K838=1),$L838,"")</f>
        <v>428.8</v>
      </c>
    </row>
    <row r="839" customFormat="false" ht="15" hidden="false" customHeight="false" outlineLevel="0" collapsed="false">
      <c r="A839" s="0" t="s">
        <v>870</v>
      </c>
      <c r="B839" s="2" t="n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0" t="n">
        <v>1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0</v>
      </c>
      <c r="P839" s="0" t="n">
        <v>88.6</v>
      </c>
      <c r="Q839" s="0" t="str">
        <f aca="false">IF($C839="Control",$P839,"")</f>
        <v/>
      </c>
      <c r="R839" s="3" t="n">
        <f aca="false">IF($C839="Treatment",$P839,"")</f>
        <v>88.6</v>
      </c>
      <c r="S839" s="0" t="str">
        <f aca="false">IF(AND($C839="Control",$K839=1),$L839,"")</f>
        <v/>
      </c>
      <c r="T839" s="0" t="str">
        <f aca="false">IF(AND($C839="Treatment",$K839=1),$L839,"")</f>
        <v/>
      </c>
    </row>
    <row r="840" customFormat="false" ht="15" hidden="false" customHeight="false" outlineLevel="0" collapsed="false">
      <c r="A840" s="0" t="s">
        <v>871</v>
      </c>
      <c r="B840" s="2" t="n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0" t="n">
        <v>1</v>
      </c>
      <c r="I840" s="0" t="n">
        <v>1</v>
      </c>
      <c r="J840" s="0" t="n">
        <v>1</v>
      </c>
      <c r="K840" s="0" t="n">
        <v>0</v>
      </c>
      <c r="L840" s="0" t="n">
        <v>0</v>
      </c>
      <c r="M840" s="0" t="n">
        <v>0</v>
      </c>
      <c r="N840" s="0" t="n">
        <v>0</v>
      </c>
      <c r="P840" s="0" t="n">
        <v>63.1</v>
      </c>
      <c r="Q840" s="0" t="str">
        <f aca="false">IF($C840="Control",$P840,"")</f>
        <v/>
      </c>
      <c r="R840" s="3" t="n">
        <f aca="false">IF($C840="Treatment",$P840,"")</f>
        <v>63.1</v>
      </c>
      <c r="S840" s="0" t="str">
        <f aca="false">IF(AND($C840="Control",$K840=1),$L840,"")</f>
        <v/>
      </c>
      <c r="T840" s="0" t="str">
        <f aca="false">IF(AND($C840="Treatment",$K840=1),$L840,"")</f>
        <v/>
      </c>
    </row>
    <row r="841" customFormat="false" ht="15" hidden="false" customHeight="false" outlineLevel="0" collapsed="false">
      <c r="A841" s="0" t="s">
        <v>872</v>
      </c>
      <c r="B841" s="2" t="n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0" t="n">
        <v>1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P841" s="0" t="n">
        <v>39.7</v>
      </c>
      <c r="Q841" s="0" t="str">
        <f aca="false">IF($C841="Control",$P841,"")</f>
        <v/>
      </c>
      <c r="R841" s="3" t="n">
        <f aca="false">IF($C841="Treatment",$P841,"")</f>
        <v>39.7</v>
      </c>
      <c r="S841" s="0" t="str">
        <f aca="false">IF(AND($C841="Control",$K841=1),$L841,"")</f>
        <v/>
      </c>
      <c r="T841" s="0" t="str">
        <f aca="false">IF(AND($C841="Treatment",$K841=1),$L841,"")</f>
        <v/>
      </c>
    </row>
    <row r="842" customFormat="false" ht="15" hidden="false" customHeight="false" outlineLevel="0" collapsed="false">
      <c r="A842" s="0" t="s">
        <v>873</v>
      </c>
      <c r="B842" s="2" t="n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P842" s="0" t="n">
        <v>67.2</v>
      </c>
      <c r="Q842" s="0" t="str">
        <f aca="false">IF($C842="Control",$P842,"")</f>
        <v/>
      </c>
      <c r="R842" s="3" t="n">
        <f aca="false">IF($C842="Treatment",$P842,"")</f>
        <v>67.2</v>
      </c>
      <c r="S842" s="0" t="str">
        <f aca="false">IF(AND($C842="Control",$K842=1),$L842,"")</f>
        <v/>
      </c>
      <c r="T842" s="0" t="str">
        <f aca="false">IF(AND($C842="Treatment",$K842=1),$L842,"")</f>
        <v/>
      </c>
    </row>
    <row r="843" customFormat="false" ht="15" hidden="false" customHeight="false" outlineLevel="0" collapsed="false">
      <c r="A843" s="0" t="s">
        <v>874</v>
      </c>
      <c r="B843" s="2" t="n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0" t="n">
        <v>1</v>
      </c>
      <c r="I843" s="0" t="n">
        <v>1</v>
      </c>
      <c r="J843" s="0" t="n">
        <v>1</v>
      </c>
      <c r="K843" s="0" t="n">
        <v>0</v>
      </c>
      <c r="L843" s="0" t="n">
        <v>0</v>
      </c>
      <c r="M843" s="0" t="n">
        <v>0</v>
      </c>
      <c r="N843" s="0" t="n">
        <v>0</v>
      </c>
      <c r="P843" s="0" t="n">
        <v>62.3</v>
      </c>
      <c r="Q843" s="0" t="str">
        <f aca="false">IF($C843="Control",$P843,"")</f>
        <v/>
      </c>
      <c r="R843" s="3" t="n">
        <f aca="false">IF($C843="Treatment",$P843,"")</f>
        <v>62.3</v>
      </c>
      <c r="S843" s="0" t="str">
        <f aca="false">IF(AND($C843="Control",$K843=1),$L843,"")</f>
        <v/>
      </c>
      <c r="T843" s="0" t="str">
        <f aca="false">IF(AND($C843="Treatment",$K843=1),$L843,"")</f>
        <v/>
      </c>
    </row>
    <row r="844" customFormat="false" ht="15" hidden="false" customHeight="false" outlineLevel="0" collapsed="false">
      <c r="A844" s="0" t="s">
        <v>875</v>
      </c>
      <c r="B844" s="2" t="n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0" t="n">
        <v>1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  <c r="Q844" s="0" t="str">
        <f aca="false">IF($C844="Control",$P844,"")</f>
        <v/>
      </c>
      <c r="R844" s="3" t="n">
        <f aca="false">IF($C844="Treatment",$P844,"")</f>
        <v>0</v>
      </c>
      <c r="S844" s="0" t="str">
        <f aca="false">IF(AND($C844="Control",$K844=1),$L844,"")</f>
        <v/>
      </c>
      <c r="T844" s="0" t="str">
        <f aca="false">IF(AND($C844="Treatment",$K844=1),$L844,"")</f>
        <v/>
      </c>
    </row>
    <row r="845" customFormat="false" ht="15" hidden="false" customHeight="false" outlineLevel="0" collapsed="false">
      <c r="A845" s="0" t="s">
        <v>876</v>
      </c>
      <c r="B845" s="2" t="n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P845" s="0" t="n">
        <v>60.7</v>
      </c>
      <c r="Q845" s="0" t="str">
        <f aca="false">IF($C845="Control",$P845,"")</f>
        <v/>
      </c>
      <c r="R845" s="3" t="n">
        <f aca="false">IF($C845="Treatment",$P845,"")</f>
        <v>60.7</v>
      </c>
      <c r="S845" s="0" t="str">
        <f aca="false">IF(AND($C845="Control",$K845=1),$L845,"")</f>
        <v/>
      </c>
      <c r="T845" s="0" t="str">
        <f aca="false">IF(AND($C845="Treatment",$K845=1),$L845,"")</f>
        <v/>
      </c>
    </row>
    <row r="846" customFormat="false" ht="15" hidden="false" customHeight="false" outlineLevel="0" collapsed="false">
      <c r="A846" s="0" t="s">
        <v>877</v>
      </c>
      <c r="B846" s="2" t="n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0" t="n">
        <v>1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P846" s="0" t="n">
        <v>61.5</v>
      </c>
      <c r="Q846" s="0" t="str">
        <f aca="false">IF($C846="Control",$P846,"")</f>
        <v/>
      </c>
      <c r="R846" s="3" t="n">
        <f aca="false">IF($C846="Treatment",$P846,"")</f>
        <v>61.5</v>
      </c>
      <c r="S846" s="0" t="str">
        <f aca="false">IF(AND($C846="Control",$K846=1),$L846,"")</f>
        <v/>
      </c>
      <c r="T846" s="0" t="str">
        <f aca="false">IF(AND($C846="Treatment",$K846=1),$L846,"")</f>
        <v/>
      </c>
    </row>
    <row r="847" customFormat="false" ht="15" hidden="false" customHeight="false" outlineLevel="0" collapsed="false">
      <c r="A847" s="0" t="s">
        <v>878</v>
      </c>
      <c r="B847" s="2" t="n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0" t="n">
        <v>1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P847" s="0" t="n">
        <v>75</v>
      </c>
      <c r="Q847" s="0" t="str">
        <f aca="false">IF($C847="Control",$P847,"")</f>
        <v/>
      </c>
      <c r="R847" s="3" t="n">
        <f aca="false">IF($C847="Treatment",$P847,"")</f>
        <v>75</v>
      </c>
      <c r="S847" s="0" t="str">
        <f aca="false">IF(AND($C847="Control",$K847=1),$L847,"")</f>
        <v/>
      </c>
      <c r="T847" s="0" t="str">
        <f aca="false">IF(AND($C847="Treatment",$K847=1),$L847,"")</f>
        <v/>
      </c>
    </row>
    <row r="848" customFormat="false" ht="15" hidden="false" customHeight="false" outlineLevel="0" collapsed="false">
      <c r="A848" s="0" t="s">
        <v>879</v>
      </c>
      <c r="B848" s="2" t="n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0" t="n">
        <v>1</v>
      </c>
      <c r="I848" s="0" t="n">
        <v>1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P848" s="0" t="n">
        <v>51.9</v>
      </c>
      <c r="Q848" s="0" t="str">
        <f aca="false">IF($C848="Control",$P848,"")</f>
        <v/>
      </c>
      <c r="R848" s="3" t="n">
        <f aca="false">IF($C848="Treatment",$P848,"")</f>
        <v>51.9</v>
      </c>
      <c r="S848" s="0" t="str">
        <f aca="false">IF(AND($C848="Control",$K848=1),$L848,"")</f>
        <v/>
      </c>
      <c r="T848" s="0" t="str">
        <f aca="false">IF(AND($C848="Treatment",$K848=1),$L848,"")</f>
        <v/>
      </c>
    </row>
    <row r="849" customFormat="false" ht="15" hidden="false" customHeight="false" outlineLevel="0" collapsed="false">
      <c r="A849" s="0" t="s">
        <v>880</v>
      </c>
      <c r="B849" s="2" t="n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P849" s="0" t="n">
        <v>34.5</v>
      </c>
      <c r="Q849" s="0" t="str">
        <f aca="false">IF($C849="Control",$P849,"")</f>
        <v/>
      </c>
      <c r="R849" s="3" t="n">
        <f aca="false">IF($C849="Treatment",$P849,"")</f>
        <v>34.5</v>
      </c>
      <c r="S849" s="0" t="str">
        <f aca="false">IF(AND($C849="Control",$K849=1),$L849,"")</f>
        <v/>
      </c>
      <c r="T849" s="0" t="str">
        <f aca="false">IF(AND($C849="Treatment",$K849=1),$L849,"")</f>
        <v/>
      </c>
    </row>
    <row r="850" customFormat="false" ht="15" hidden="false" customHeight="false" outlineLevel="0" collapsed="false">
      <c r="A850" s="0" t="s">
        <v>881</v>
      </c>
      <c r="B850" s="2" t="n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P850" s="0" t="n">
        <v>54.5</v>
      </c>
      <c r="Q850" s="0" t="str">
        <f aca="false">IF($C850="Control",$P850,"")</f>
        <v/>
      </c>
      <c r="R850" s="3" t="n">
        <f aca="false">IF($C850="Treatment",$P850,"")</f>
        <v>54.5</v>
      </c>
      <c r="S850" s="0" t="str">
        <f aca="false">IF(AND($C850="Control",$K850=1),$L850,"")</f>
        <v/>
      </c>
      <c r="T850" s="0" t="str">
        <f aca="false">IF(AND($C850="Treatment",$K850=1),$L850,"")</f>
        <v/>
      </c>
    </row>
    <row r="851" customFormat="false" ht="15" hidden="false" customHeight="false" outlineLevel="0" collapsed="false">
      <c r="A851" s="0" t="s">
        <v>882</v>
      </c>
      <c r="B851" s="2" t="n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P851" s="0" t="n">
        <v>46</v>
      </c>
      <c r="Q851" s="0" t="str">
        <f aca="false">IF($C851="Control",$P851,"")</f>
        <v/>
      </c>
      <c r="R851" s="3" t="n">
        <f aca="false">IF($C851="Treatment",$P851,"")</f>
        <v>46</v>
      </c>
      <c r="S851" s="0" t="str">
        <f aca="false">IF(AND($C851="Control",$K851=1),$L851,"")</f>
        <v/>
      </c>
      <c r="T851" s="0" t="str">
        <f aca="false">IF(AND($C851="Treatment",$K851=1),$L851,"")</f>
        <v/>
      </c>
    </row>
    <row r="852" customFormat="false" ht="15" hidden="false" customHeight="false" outlineLevel="0" collapsed="false">
      <c r="A852" s="0" t="s">
        <v>883</v>
      </c>
      <c r="B852" s="2" t="n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0" t="n">
        <v>1</v>
      </c>
      <c r="I852" s="0" t="n">
        <v>1</v>
      </c>
      <c r="J852" s="0" t="n">
        <v>1</v>
      </c>
      <c r="K852" s="0" t="n">
        <v>0</v>
      </c>
      <c r="L852" s="0" t="n">
        <v>0</v>
      </c>
      <c r="M852" s="0" t="n">
        <v>0</v>
      </c>
      <c r="N852" s="0" t="n">
        <v>0</v>
      </c>
      <c r="P852" s="0" t="n">
        <v>88.4</v>
      </c>
      <c r="Q852" s="0" t="str">
        <f aca="false">IF($C852="Control",$P852,"")</f>
        <v/>
      </c>
      <c r="R852" s="3" t="n">
        <f aca="false">IF($C852="Treatment",$P852,"")</f>
        <v>88.4</v>
      </c>
      <c r="S852" s="0" t="str">
        <f aca="false">IF(AND($C852="Control",$K852=1),$L852,"")</f>
        <v/>
      </c>
      <c r="T852" s="0" t="str">
        <f aca="false">IF(AND($C852="Treatment",$K852=1),$L852,"")</f>
        <v/>
      </c>
    </row>
    <row r="853" customFormat="false" ht="15" hidden="false" customHeight="false" outlineLevel="0" collapsed="false">
      <c r="A853" s="0" t="s">
        <v>884</v>
      </c>
      <c r="B853" s="2" t="n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0" t="n">
        <v>1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P853" s="0" t="n">
        <v>69.5</v>
      </c>
      <c r="Q853" s="0" t="str">
        <f aca="false">IF($C853="Control",$P853,"")</f>
        <v/>
      </c>
      <c r="R853" s="3" t="n">
        <f aca="false">IF($C853="Treatment",$P853,"")</f>
        <v>69.5</v>
      </c>
      <c r="S853" s="0" t="str">
        <f aca="false">IF(AND($C853="Control",$K853=1),$L853,"")</f>
        <v/>
      </c>
      <c r="T853" s="0" t="str">
        <f aca="false">IF(AND($C853="Treatment",$K853=1),$L853,"")</f>
        <v/>
      </c>
    </row>
    <row r="854" customFormat="false" ht="15" hidden="false" customHeight="false" outlineLevel="0" collapsed="false">
      <c r="A854" s="0" t="s">
        <v>885</v>
      </c>
      <c r="B854" s="2" t="n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0" t="n">
        <v>1</v>
      </c>
      <c r="I854" s="0" t="n">
        <v>1</v>
      </c>
      <c r="J854" s="0" t="n">
        <v>1</v>
      </c>
      <c r="K854" s="0" t="n">
        <v>0</v>
      </c>
      <c r="L854" s="0" t="n">
        <v>0</v>
      </c>
      <c r="M854" s="0" t="n">
        <v>0</v>
      </c>
      <c r="N854" s="0" t="n">
        <v>0</v>
      </c>
      <c r="P854" s="0" t="n">
        <v>74.2</v>
      </c>
      <c r="Q854" s="0" t="str">
        <f aca="false">IF($C854="Control",$P854,"")</f>
        <v/>
      </c>
      <c r="R854" s="3" t="n">
        <f aca="false">IF($C854="Treatment",$P854,"")</f>
        <v>74.2</v>
      </c>
      <c r="S854" s="0" t="str">
        <f aca="false">IF(AND($C854="Control",$K854=1),$L854,"")</f>
        <v/>
      </c>
      <c r="T854" s="0" t="str">
        <f aca="false">IF(AND($C854="Treatment",$K854=1),$L854,"")</f>
        <v/>
      </c>
    </row>
    <row r="855" customFormat="false" ht="15" hidden="false" customHeight="false" outlineLevel="0" collapsed="false">
      <c r="A855" s="0" t="s">
        <v>886</v>
      </c>
      <c r="B855" s="2" t="n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0" t="n">
        <v>1</v>
      </c>
      <c r="I855" s="0" t="n">
        <v>1</v>
      </c>
      <c r="J855" s="0" t="n">
        <v>1</v>
      </c>
      <c r="K855" s="0" t="n">
        <v>0</v>
      </c>
      <c r="L855" s="0" t="n">
        <v>0</v>
      </c>
      <c r="M855" s="0" t="n">
        <v>0</v>
      </c>
      <c r="N855" s="0" t="n">
        <v>0</v>
      </c>
      <c r="P855" s="0" t="n">
        <v>72.1</v>
      </c>
      <c r="Q855" s="0" t="str">
        <f aca="false">IF($C855="Control",$P855,"")</f>
        <v/>
      </c>
      <c r="R855" s="3" t="n">
        <f aca="false">IF($C855="Treatment",$P855,"")</f>
        <v>72.1</v>
      </c>
      <c r="S855" s="0" t="str">
        <f aca="false">IF(AND($C855="Control",$K855=1),$L855,"")</f>
        <v/>
      </c>
      <c r="T855" s="0" t="str">
        <f aca="false">IF(AND($C855="Treatment",$K855=1),$L855,"")</f>
        <v/>
      </c>
    </row>
    <row r="856" customFormat="false" ht="15" hidden="false" customHeight="false" outlineLevel="0" collapsed="false">
      <c r="A856" s="0" t="s">
        <v>887</v>
      </c>
      <c r="B856" s="2" t="n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0" t="n">
        <v>1</v>
      </c>
      <c r="I856" s="0" t="n">
        <v>1</v>
      </c>
      <c r="J856" s="0" t="n">
        <v>1</v>
      </c>
      <c r="K856" s="0" t="n">
        <v>1</v>
      </c>
      <c r="L856" s="0" t="n">
        <v>398.33</v>
      </c>
      <c r="M856" s="0" t="n">
        <v>0</v>
      </c>
      <c r="N856" s="0" t="n">
        <v>0</v>
      </c>
      <c r="O856" s="0" t="n">
        <v>5</v>
      </c>
      <c r="P856" s="0" t="n">
        <v>85.1</v>
      </c>
      <c r="Q856" s="0" t="str">
        <f aca="false">IF($C856="Control",$P856,"")</f>
        <v/>
      </c>
      <c r="R856" s="3" t="n">
        <f aca="false">IF($C856="Treatment",$P856,"")</f>
        <v>85.1</v>
      </c>
      <c r="S856" s="0" t="str">
        <f aca="false">IF(AND($C856="Control",$K856=1),$L856,"")</f>
        <v/>
      </c>
      <c r="T856" s="3" t="n">
        <f aca="false">IF(AND($C856="Treatment",$K856=1),$L856,"")</f>
        <v>398.33</v>
      </c>
    </row>
    <row r="857" customFormat="false" ht="15" hidden="false" customHeight="false" outlineLevel="0" collapsed="false">
      <c r="A857" s="0" t="s">
        <v>888</v>
      </c>
      <c r="B857" s="2" t="n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0" t="n">
        <v>1</v>
      </c>
      <c r="I857" s="0" t="n">
        <v>1</v>
      </c>
      <c r="J857" s="0" t="n">
        <v>1</v>
      </c>
      <c r="K857" s="0" t="n">
        <v>0</v>
      </c>
      <c r="L857" s="0" t="n">
        <v>0</v>
      </c>
      <c r="M857" s="0" t="n">
        <v>0</v>
      </c>
      <c r="N857" s="0" t="n">
        <v>0</v>
      </c>
      <c r="P857" s="0" t="n">
        <v>49.5</v>
      </c>
      <c r="Q857" s="0" t="str">
        <f aca="false">IF($C857="Control",$P857,"")</f>
        <v/>
      </c>
      <c r="R857" s="3" t="n">
        <f aca="false">IF($C857="Treatment",$P857,"")</f>
        <v>49.5</v>
      </c>
      <c r="S857" s="0" t="str">
        <f aca="false">IF(AND($C857="Control",$K857=1),$L857,"")</f>
        <v/>
      </c>
      <c r="T857" s="0" t="str">
        <f aca="false">IF(AND($C857="Treatment",$K857=1),$L857,"")</f>
        <v/>
      </c>
    </row>
    <row r="858" customFormat="false" ht="15" hidden="false" customHeight="false" outlineLevel="0" collapsed="false">
      <c r="A858" s="0" t="s">
        <v>889</v>
      </c>
      <c r="B858" s="2" t="n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0</v>
      </c>
      <c r="P858" s="0" t="n">
        <v>79</v>
      </c>
      <c r="Q858" s="0" t="str">
        <f aca="false">IF($C858="Control",$P858,"")</f>
        <v/>
      </c>
      <c r="R858" s="3" t="n">
        <f aca="false">IF($C858="Treatment",$P858,"")</f>
        <v>79</v>
      </c>
      <c r="S858" s="0" t="str">
        <f aca="false">IF(AND($C858="Control",$K858=1),$L858,"")</f>
        <v/>
      </c>
      <c r="T858" s="0" t="str">
        <f aca="false">IF(AND($C858="Treatment",$K858=1),$L858,"")</f>
        <v/>
      </c>
    </row>
    <row r="859" customFormat="false" ht="15" hidden="false" customHeight="false" outlineLevel="0" collapsed="false">
      <c r="A859" s="0" t="s">
        <v>890</v>
      </c>
      <c r="B859" s="2" t="n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P859" s="0" t="n">
        <v>71.8</v>
      </c>
      <c r="Q859" s="0" t="str">
        <f aca="false">IF($C859="Control",$P859,"")</f>
        <v/>
      </c>
      <c r="R859" s="3" t="n">
        <f aca="false">IF($C859="Treatment",$P859,"")</f>
        <v>71.8</v>
      </c>
      <c r="S859" s="0" t="str">
        <f aca="false">IF(AND($C859="Control",$K859=1),$L859,"")</f>
        <v/>
      </c>
      <c r="T859" s="0" t="str">
        <f aca="false">IF(AND($C859="Treatment",$K859=1),$L859,"")</f>
        <v/>
      </c>
    </row>
    <row r="860" customFormat="false" ht="15" hidden="false" customHeight="false" outlineLevel="0" collapsed="false">
      <c r="A860" s="0" t="s">
        <v>891</v>
      </c>
      <c r="B860" s="2" t="n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0" t="n">
        <v>1</v>
      </c>
      <c r="I860" s="0" t="n">
        <v>1</v>
      </c>
      <c r="J860" s="0" t="n">
        <v>1</v>
      </c>
      <c r="K860" s="0" t="n">
        <v>1</v>
      </c>
      <c r="L860" s="0" t="n">
        <v>1117.54</v>
      </c>
      <c r="M860" s="0" t="n">
        <v>0</v>
      </c>
      <c r="N860" s="0" t="n">
        <v>0</v>
      </c>
      <c r="O860" s="0" t="n">
        <v>6</v>
      </c>
      <c r="P860" s="0" t="n">
        <v>60.4</v>
      </c>
      <c r="Q860" s="0" t="str">
        <f aca="false">IF($C860="Control",$P860,"")</f>
        <v/>
      </c>
      <c r="R860" s="3" t="n">
        <f aca="false">IF($C860="Treatment",$P860,"")</f>
        <v>60.4</v>
      </c>
      <c r="S860" s="0" t="str">
        <f aca="false">IF(AND($C860="Control",$K860=1),$L860,"")</f>
        <v/>
      </c>
      <c r="T860" s="3" t="n">
        <f aca="false">IF(AND($C860="Treatment",$K860=1),$L860,"")</f>
        <v>1117.54</v>
      </c>
    </row>
    <row r="861" customFormat="false" ht="15" hidden="false" customHeight="false" outlineLevel="0" collapsed="false">
      <c r="A861" s="0" t="s">
        <v>892</v>
      </c>
      <c r="B861" s="2" t="n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0" t="n">
        <v>1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2</v>
      </c>
      <c r="N861" s="0" t="n">
        <v>0</v>
      </c>
      <c r="P861" s="0" t="n">
        <v>38.3</v>
      </c>
      <c r="Q861" s="0" t="str">
        <f aca="false">IF($C861="Control",$P861,"")</f>
        <v/>
      </c>
      <c r="R861" s="3" t="n">
        <f aca="false">IF($C861="Treatment",$P861,"")</f>
        <v>38.3</v>
      </c>
      <c r="S861" s="0" t="str">
        <f aca="false">IF(AND($C861="Control",$K861=1),$L861,"")</f>
        <v/>
      </c>
      <c r="T861" s="0" t="str">
        <f aca="false">IF(AND($C861="Treatment",$K861=1),$L861,"")</f>
        <v/>
      </c>
    </row>
    <row r="862" customFormat="false" ht="15" hidden="false" customHeight="false" outlineLevel="0" collapsed="false">
      <c r="A862" s="0" t="s">
        <v>893</v>
      </c>
      <c r="B862" s="2" t="n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0" t="n">
        <v>1</v>
      </c>
      <c r="I862" s="0" t="n">
        <v>1</v>
      </c>
      <c r="J862" s="0" t="n">
        <v>1</v>
      </c>
      <c r="K862" s="0" t="n">
        <v>0</v>
      </c>
      <c r="L862" s="0" t="n">
        <v>0</v>
      </c>
      <c r="M862" s="0" t="n">
        <v>0</v>
      </c>
      <c r="N862" s="0" t="n">
        <v>0</v>
      </c>
      <c r="P862" s="0" t="n">
        <v>79.6</v>
      </c>
      <c r="Q862" s="0" t="str">
        <f aca="false">IF($C862="Control",$P862,"")</f>
        <v/>
      </c>
      <c r="R862" s="3" t="n">
        <f aca="false">IF($C862="Treatment",$P862,"")</f>
        <v>79.6</v>
      </c>
      <c r="S862" s="0" t="str">
        <f aca="false">IF(AND($C862="Control",$K862=1),$L862,"")</f>
        <v/>
      </c>
      <c r="T862" s="0" t="str">
        <f aca="false">IF(AND($C862="Treatment",$K862=1),$L862,"")</f>
        <v/>
      </c>
    </row>
    <row r="863" customFormat="false" ht="15" hidden="false" customHeight="false" outlineLevel="0" collapsed="false">
      <c r="A863" s="0" t="s">
        <v>894</v>
      </c>
      <c r="B863" s="2" t="n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0" t="n">
        <v>1</v>
      </c>
      <c r="I863" s="0" t="n">
        <v>1</v>
      </c>
      <c r="J863" s="0" t="n">
        <v>1</v>
      </c>
      <c r="K863" s="0" t="n">
        <v>0</v>
      </c>
      <c r="L863" s="0" t="n">
        <v>0</v>
      </c>
      <c r="M863" s="0" t="n">
        <v>0</v>
      </c>
      <c r="N863" s="0" t="n">
        <v>0</v>
      </c>
      <c r="P863" s="0" t="n">
        <v>71.9</v>
      </c>
      <c r="Q863" s="0" t="str">
        <f aca="false">IF($C863="Control",$P863,"")</f>
        <v/>
      </c>
      <c r="R863" s="3" t="n">
        <f aca="false">IF($C863="Treatment",$P863,"")</f>
        <v>71.9</v>
      </c>
      <c r="S863" s="0" t="str">
        <f aca="false">IF(AND($C863="Control",$K863=1),$L863,"")</f>
        <v/>
      </c>
      <c r="T863" s="0" t="str">
        <f aca="false">IF(AND($C863="Treatment",$K863=1),$L863,"")</f>
        <v/>
      </c>
    </row>
    <row r="864" customFormat="false" ht="15" hidden="false" customHeight="false" outlineLevel="0" collapsed="false">
      <c r="A864" s="0" t="s">
        <v>895</v>
      </c>
      <c r="B864" s="2" t="n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0" t="n">
        <v>1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P864" s="0" t="n">
        <v>54.6</v>
      </c>
      <c r="Q864" s="0" t="str">
        <f aca="false">IF($C864="Control",$P864,"")</f>
        <v/>
      </c>
      <c r="R864" s="3" t="n">
        <f aca="false">IF($C864="Treatment",$P864,"")</f>
        <v>54.6</v>
      </c>
      <c r="S864" s="0" t="str">
        <f aca="false">IF(AND($C864="Control",$K864=1),$L864,"")</f>
        <v/>
      </c>
      <c r="T864" s="0" t="str">
        <f aca="false">IF(AND($C864="Treatment",$K864=1),$L864,"")</f>
        <v/>
      </c>
    </row>
    <row r="865" customFormat="false" ht="15" hidden="false" customHeight="false" outlineLevel="0" collapsed="false">
      <c r="A865" s="0" t="s">
        <v>896</v>
      </c>
      <c r="B865" s="2" t="n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0" t="n">
        <v>1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3</v>
      </c>
      <c r="N865" s="0" t="n">
        <v>0</v>
      </c>
      <c r="P865" s="0" t="n">
        <v>49.3</v>
      </c>
      <c r="Q865" s="0" t="str">
        <f aca="false">IF($C865="Control",$P865,"")</f>
        <v/>
      </c>
      <c r="R865" s="3" t="n">
        <f aca="false">IF($C865="Treatment",$P865,"")</f>
        <v>49.3</v>
      </c>
      <c r="S865" s="0" t="str">
        <f aca="false">IF(AND($C865="Control",$K865=1),$L865,"")</f>
        <v/>
      </c>
      <c r="T865" s="0" t="str">
        <f aca="false">IF(AND($C865="Treatment",$K865=1),$L865,"")</f>
        <v/>
      </c>
    </row>
    <row r="866" customFormat="false" ht="15" hidden="false" customHeight="false" outlineLevel="0" collapsed="false">
      <c r="A866" s="0" t="s">
        <v>897</v>
      </c>
      <c r="B866" s="2" t="n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0</v>
      </c>
      <c r="P866" s="0" t="n">
        <v>66.9</v>
      </c>
      <c r="Q866" s="0" t="str">
        <f aca="false">IF($C866="Control",$P866,"")</f>
        <v/>
      </c>
      <c r="R866" s="3" t="n">
        <f aca="false">IF($C866="Treatment",$P866,"")</f>
        <v>66.9</v>
      </c>
      <c r="S866" s="0" t="str">
        <f aca="false">IF(AND($C866="Control",$K866=1),$L866,"")</f>
        <v/>
      </c>
      <c r="T866" s="0" t="str">
        <f aca="false">IF(AND($C866="Treatment",$K866=1),$L866,"")</f>
        <v/>
      </c>
    </row>
    <row r="867" customFormat="false" ht="15" hidden="false" customHeight="false" outlineLevel="0" collapsed="false">
      <c r="A867" s="0" t="s">
        <v>898</v>
      </c>
      <c r="B867" s="2" t="n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0" t="n">
        <v>1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0</v>
      </c>
      <c r="P867" s="0" t="n">
        <v>77.8</v>
      </c>
      <c r="Q867" s="0" t="str">
        <f aca="false">IF($C867="Control",$P867,"")</f>
        <v/>
      </c>
      <c r="R867" s="3" t="n">
        <f aca="false">IF($C867="Treatment",$P867,"")</f>
        <v>77.8</v>
      </c>
      <c r="S867" s="0" t="str">
        <f aca="false">IF(AND($C867="Control",$K867=1),$L867,"")</f>
        <v/>
      </c>
      <c r="T867" s="0" t="str">
        <f aca="false">IF(AND($C867="Treatment",$K867=1),$L867,"")</f>
        <v/>
      </c>
    </row>
    <row r="868" customFormat="false" ht="15" hidden="false" customHeight="false" outlineLevel="0" collapsed="false">
      <c r="A868" s="0" t="s">
        <v>899</v>
      </c>
      <c r="B868" s="2" t="n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0" t="n">
        <v>1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P868" s="0" t="n">
        <v>63</v>
      </c>
      <c r="Q868" s="0" t="str">
        <f aca="false">IF($C868="Control",$P868,"")</f>
        <v/>
      </c>
      <c r="R868" s="3" t="n">
        <f aca="false">IF($C868="Treatment",$P868,"")</f>
        <v>63</v>
      </c>
      <c r="S868" s="0" t="str">
        <f aca="false">IF(AND($C868="Control",$K868=1),$L868,"")</f>
        <v/>
      </c>
      <c r="T868" s="0" t="str">
        <f aca="false">IF(AND($C868="Treatment",$K868=1),$L868,"")</f>
        <v/>
      </c>
    </row>
    <row r="869" customFormat="false" ht="15" hidden="false" customHeight="false" outlineLevel="0" collapsed="false">
      <c r="A869" s="0" t="s">
        <v>900</v>
      </c>
      <c r="B869" s="2" t="n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P869" s="0" t="n">
        <v>79.8</v>
      </c>
      <c r="Q869" s="0" t="str">
        <f aca="false">IF($C869="Control",$P869,"")</f>
        <v/>
      </c>
      <c r="R869" s="3" t="n">
        <f aca="false">IF($C869="Treatment",$P869,"")</f>
        <v>79.8</v>
      </c>
      <c r="S869" s="0" t="str">
        <f aca="false">IF(AND($C869="Control",$K869=1),$L869,"")</f>
        <v/>
      </c>
      <c r="T869" s="0" t="str">
        <f aca="false">IF(AND($C869="Treatment",$K869=1),$L869,"")</f>
        <v/>
      </c>
    </row>
    <row r="870" customFormat="false" ht="15" hidden="false" customHeight="false" outlineLevel="0" collapsed="false">
      <c r="A870" s="0" t="s">
        <v>901</v>
      </c>
      <c r="B870" s="2" t="n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P870" s="0" t="n">
        <v>69.9</v>
      </c>
      <c r="Q870" s="0" t="str">
        <f aca="false">IF($C870="Control",$P870,"")</f>
        <v/>
      </c>
      <c r="R870" s="3" t="n">
        <f aca="false">IF($C870="Treatment",$P870,"")</f>
        <v>69.9</v>
      </c>
      <c r="S870" s="0" t="str">
        <f aca="false">IF(AND($C870="Control",$K870=1),$L870,"")</f>
        <v/>
      </c>
      <c r="T870" s="0" t="str">
        <f aca="false">IF(AND($C870="Treatment",$K870=1),$L870,"")</f>
        <v/>
      </c>
    </row>
    <row r="871" customFormat="false" ht="15" hidden="false" customHeight="false" outlineLevel="0" collapsed="false">
      <c r="A871" s="0" t="s">
        <v>902</v>
      </c>
      <c r="B871" s="2" t="n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0</v>
      </c>
      <c r="P871" s="0" t="n">
        <v>66.4</v>
      </c>
      <c r="Q871" s="0" t="str">
        <f aca="false">IF($C871="Control",$P871,"")</f>
        <v/>
      </c>
      <c r="R871" s="3" t="n">
        <f aca="false">IF($C871="Treatment",$P871,"")</f>
        <v>66.4</v>
      </c>
      <c r="S871" s="0" t="str">
        <f aca="false">IF(AND($C871="Control",$K871=1),$L871,"")</f>
        <v/>
      </c>
      <c r="T871" s="0" t="str">
        <f aca="false">IF(AND($C871="Treatment",$K871=1),$L871,"")</f>
        <v/>
      </c>
    </row>
    <row r="872" customFormat="false" ht="15" hidden="false" customHeight="false" outlineLevel="0" collapsed="false">
      <c r="A872" s="0" t="s">
        <v>903</v>
      </c>
      <c r="B872" s="2" t="n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0" t="n">
        <v>1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P872" s="0" t="n">
        <v>27.6</v>
      </c>
      <c r="Q872" s="0" t="str">
        <f aca="false">IF($C872="Control",$P872,"")</f>
        <v/>
      </c>
      <c r="R872" s="3" t="n">
        <f aca="false">IF($C872="Treatment",$P872,"")</f>
        <v>27.6</v>
      </c>
      <c r="S872" s="0" t="str">
        <f aca="false">IF(AND($C872="Control",$K872=1),$L872,"")</f>
        <v/>
      </c>
      <c r="T872" s="0" t="str">
        <f aca="false">IF(AND($C872="Treatment",$K872=1),$L872,"")</f>
        <v/>
      </c>
    </row>
    <row r="873" customFormat="false" ht="15" hidden="false" customHeight="false" outlineLevel="0" collapsed="false">
      <c r="A873" s="0" t="s">
        <v>904</v>
      </c>
      <c r="B873" s="2" t="n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0" t="n">
        <v>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0</v>
      </c>
      <c r="P873" s="0" t="n">
        <v>56.5</v>
      </c>
      <c r="Q873" s="0" t="str">
        <f aca="false">IF($C873="Control",$P873,"")</f>
        <v/>
      </c>
      <c r="R873" s="3" t="n">
        <f aca="false">IF($C873="Treatment",$P873,"")</f>
        <v>56.5</v>
      </c>
      <c r="S873" s="0" t="str">
        <f aca="false">IF(AND($C873="Control",$K873=1),$L873,"")</f>
        <v/>
      </c>
      <c r="T873" s="0" t="str">
        <f aca="false">IF(AND($C873="Treatment",$K873=1),$L873,"")</f>
        <v/>
      </c>
    </row>
    <row r="874" customFormat="false" ht="15" hidden="false" customHeight="false" outlineLevel="0" collapsed="false">
      <c r="A874" s="0" t="s">
        <v>905</v>
      </c>
      <c r="B874" s="2" t="n">
        <v>45769</v>
      </c>
      <c r="C874" s="3" t="s">
        <v>723</v>
      </c>
      <c r="D874" s="3" t="s">
        <v>23</v>
      </c>
      <c r="E874" s="3" t="s">
        <v>1470</v>
      </c>
      <c r="F874" s="3" t="s">
        <v>41</v>
      </c>
      <c r="G874" s="3" t="s">
        <v>26</v>
      </c>
      <c r="H874" s="0" t="n">
        <v>1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P874" s="0" t="n">
        <v>67.8</v>
      </c>
      <c r="Q874" s="0" t="str">
        <f aca="false">IF($C874="Control",$P874,"")</f>
        <v/>
      </c>
      <c r="R874" s="3" t="n">
        <f aca="false">IF($C874="Treatment",$P874,"")</f>
        <v>67.8</v>
      </c>
      <c r="S874" s="0" t="str">
        <f aca="false">IF(AND($C874="Control",$K874=1),$L874,"")</f>
        <v/>
      </c>
      <c r="T874" s="0" t="str">
        <f aca="false">IF(AND($C874="Treatment",$K874=1),$L874,"")</f>
        <v/>
      </c>
    </row>
    <row r="875" customFormat="false" ht="15" hidden="false" customHeight="false" outlineLevel="0" collapsed="false">
      <c r="A875" s="0" t="s">
        <v>906</v>
      </c>
      <c r="B875" s="2" t="n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0" t="n">
        <v>1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P875" s="0" t="n">
        <v>80</v>
      </c>
      <c r="Q875" s="0" t="str">
        <f aca="false">IF($C875="Control",$P875,"")</f>
        <v/>
      </c>
      <c r="R875" s="3" t="n">
        <f aca="false">IF($C875="Treatment",$P875,"")</f>
        <v>80</v>
      </c>
      <c r="S875" s="0" t="str">
        <f aca="false">IF(AND($C875="Control",$K875=1),$L875,"")</f>
        <v/>
      </c>
      <c r="T875" s="0" t="str">
        <f aca="false">IF(AND($C875="Treatment",$K875=1),$L875,"")</f>
        <v/>
      </c>
    </row>
    <row r="876" customFormat="false" ht="15" hidden="false" customHeight="false" outlineLevel="0" collapsed="false">
      <c r="A876" s="0" t="s">
        <v>907</v>
      </c>
      <c r="B876" s="2" t="n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0" t="n">
        <v>1</v>
      </c>
      <c r="I876" s="0" t="n">
        <v>1</v>
      </c>
      <c r="J876" s="0" t="n">
        <v>1</v>
      </c>
      <c r="K876" s="0" t="n">
        <v>0</v>
      </c>
      <c r="L876" s="0" t="n">
        <v>0</v>
      </c>
      <c r="M876" s="0" t="n">
        <v>1</v>
      </c>
      <c r="N876" s="0" t="n">
        <v>0</v>
      </c>
      <c r="P876" s="0" t="n">
        <v>80.9</v>
      </c>
      <c r="Q876" s="0" t="str">
        <f aca="false">IF($C876="Control",$P876,"")</f>
        <v/>
      </c>
      <c r="R876" s="3" t="n">
        <f aca="false">IF($C876="Treatment",$P876,"")</f>
        <v>80.9</v>
      </c>
      <c r="S876" s="0" t="str">
        <f aca="false">IF(AND($C876="Control",$K876=1),$L876,"")</f>
        <v/>
      </c>
      <c r="T876" s="0" t="str">
        <f aca="false">IF(AND($C876="Treatment",$K876=1),$L876,"")</f>
        <v/>
      </c>
    </row>
    <row r="877" customFormat="false" ht="15" hidden="false" customHeight="false" outlineLevel="0" collapsed="false">
      <c r="A877" s="0" t="s">
        <v>908</v>
      </c>
      <c r="B877" s="2" t="n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P877" s="0" t="n">
        <v>34.5</v>
      </c>
      <c r="Q877" s="0" t="str">
        <f aca="false">IF($C877="Control",$P877,"")</f>
        <v/>
      </c>
      <c r="R877" s="3" t="n">
        <f aca="false">IF($C877="Treatment",$P877,"")</f>
        <v>34.5</v>
      </c>
      <c r="S877" s="0" t="str">
        <f aca="false">IF(AND($C877="Control",$K877=1),$L877,"")</f>
        <v/>
      </c>
      <c r="T877" s="0" t="str">
        <f aca="false">IF(AND($C877="Treatment",$K877=1),$L877,"")</f>
        <v/>
      </c>
    </row>
    <row r="878" customFormat="false" ht="15" hidden="false" customHeight="false" outlineLevel="0" collapsed="false">
      <c r="A878" s="0" t="s">
        <v>909</v>
      </c>
      <c r="B878" s="2" t="n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0" t="n">
        <v>1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P878" s="0" t="n">
        <v>73.5</v>
      </c>
      <c r="Q878" s="0" t="str">
        <f aca="false">IF($C878="Control",$P878,"")</f>
        <v/>
      </c>
      <c r="R878" s="3" t="n">
        <f aca="false">IF($C878="Treatment",$P878,"")</f>
        <v>73.5</v>
      </c>
      <c r="S878" s="0" t="str">
        <f aca="false">IF(AND($C878="Control",$K878=1),$L878,"")</f>
        <v/>
      </c>
      <c r="T878" s="0" t="str">
        <f aca="false">IF(AND($C878="Treatment",$K878=1),$L878,"")</f>
        <v/>
      </c>
    </row>
    <row r="879" customFormat="false" ht="15" hidden="false" customHeight="false" outlineLevel="0" collapsed="false">
      <c r="A879" s="0" t="s">
        <v>910</v>
      </c>
      <c r="B879" s="2" t="n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0" t="n">
        <v>1</v>
      </c>
      <c r="I879" s="0" t="n">
        <v>1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P879" s="0" t="n">
        <v>70</v>
      </c>
      <c r="Q879" s="0" t="str">
        <f aca="false">IF($C879="Control",$P879,"")</f>
        <v/>
      </c>
      <c r="R879" s="3" t="n">
        <f aca="false">IF($C879="Treatment",$P879,"")</f>
        <v>70</v>
      </c>
      <c r="S879" s="0" t="str">
        <f aca="false">IF(AND($C879="Control",$K879=1),$L879,"")</f>
        <v/>
      </c>
      <c r="T879" s="0" t="str">
        <f aca="false">IF(AND($C879="Treatment",$K879=1),$L879,"")</f>
        <v/>
      </c>
    </row>
    <row r="880" customFormat="false" ht="15" hidden="false" customHeight="false" outlineLevel="0" collapsed="false">
      <c r="A880" s="0" t="s">
        <v>911</v>
      </c>
      <c r="B880" s="2" t="n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P880" s="0" t="n">
        <v>86.9</v>
      </c>
      <c r="Q880" s="0" t="str">
        <f aca="false">IF($C880="Control",$P880,"")</f>
        <v/>
      </c>
      <c r="R880" s="3" t="n">
        <f aca="false">IF($C880="Treatment",$P880,"")</f>
        <v>86.9</v>
      </c>
      <c r="S880" s="0" t="str">
        <f aca="false">IF(AND($C880="Control",$K880=1),$L880,"")</f>
        <v/>
      </c>
      <c r="T880" s="0" t="str">
        <f aca="false">IF(AND($C880="Treatment",$K880=1),$L880,"")</f>
        <v/>
      </c>
    </row>
    <row r="881" customFormat="false" ht="15" hidden="false" customHeight="false" outlineLevel="0" collapsed="false">
      <c r="A881" s="0" t="s">
        <v>912</v>
      </c>
      <c r="B881" s="2" t="n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P881" s="0" t="n">
        <v>66.9</v>
      </c>
      <c r="Q881" s="0" t="str">
        <f aca="false">IF($C881="Control",$P881,"")</f>
        <v/>
      </c>
      <c r="R881" s="3" t="n">
        <f aca="false">IF($C881="Treatment",$P881,"")</f>
        <v>66.9</v>
      </c>
      <c r="S881" s="0" t="str">
        <f aca="false">IF(AND($C881="Control",$K881=1),$L881,"")</f>
        <v/>
      </c>
      <c r="T881" s="0" t="str">
        <f aca="false">IF(AND($C881="Treatment",$K881=1),$L881,"")</f>
        <v/>
      </c>
    </row>
    <row r="882" customFormat="false" ht="15" hidden="false" customHeight="false" outlineLevel="0" collapsed="false">
      <c r="A882" s="0" t="s">
        <v>913</v>
      </c>
      <c r="B882" s="2" t="n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0" t="n">
        <v>1</v>
      </c>
      <c r="I882" s="0" t="n">
        <v>1</v>
      </c>
      <c r="J882" s="0" t="n">
        <v>1</v>
      </c>
      <c r="K882" s="0" t="n">
        <v>0</v>
      </c>
      <c r="L882" s="0" t="n">
        <v>0</v>
      </c>
      <c r="M882" s="0" t="n">
        <v>0</v>
      </c>
      <c r="N882" s="0" t="n">
        <v>0</v>
      </c>
      <c r="P882" s="0" t="n">
        <v>58.3</v>
      </c>
      <c r="Q882" s="0" t="str">
        <f aca="false">IF($C882="Control",$P882,"")</f>
        <v/>
      </c>
      <c r="R882" s="3" t="n">
        <f aca="false">IF($C882="Treatment",$P882,"")</f>
        <v>58.3</v>
      </c>
      <c r="S882" s="0" t="str">
        <f aca="false">IF(AND($C882="Control",$K882=1),$L882,"")</f>
        <v/>
      </c>
      <c r="T882" s="0" t="str">
        <f aca="false">IF(AND($C882="Treatment",$K882=1),$L882,"")</f>
        <v/>
      </c>
    </row>
    <row r="883" customFormat="false" ht="15" hidden="false" customHeight="false" outlineLevel="0" collapsed="false">
      <c r="A883" s="0" t="s">
        <v>914</v>
      </c>
      <c r="B883" s="2" t="n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0" t="n">
        <v>1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P883" s="0" t="n">
        <v>45</v>
      </c>
      <c r="Q883" s="0" t="str">
        <f aca="false">IF($C883="Control",$P883,"")</f>
        <v/>
      </c>
      <c r="R883" s="3" t="n">
        <f aca="false">IF($C883="Treatment",$P883,"")</f>
        <v>45</v>
      </c>
      <c r="S883" s="0" t="str">
        <f aca="false">IF(AND($C883="Control",$K883=1),$L883,"")</f>
        <v/>
      </c>
      <c r="T883" s="0" t="str">
        <f aca="false">IF(AND($C883="Treatment",$K883=1),$L883,"")</f>
        <v/>
      </c>
    </row>
    <row r="884" customFormat="false" ht="15" hidden="false" customHeight="false" outlineLevel="0" collapsed="false">
      <c r="A884" s="0" t="s">
        <v>915</v>
      </c>
      <c r="B884" s="2" t="n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P884" s="0" t="n">
        <v>60.8</v>
      </c>
      <c r="Q884" s="0" t="str">
        <f aca="false">IF($C884="Control",$P884,"")</f>
        <v/>
      </c>
      <c r="R884" s="3" t="n">
        <f aca="false">IF($C884="Treatment",$P884,"")</f>
        <v>60.8</v>
      </c>
      <c r="S884" s="0" t="str">
        <f aca="false">IF(AND($C884="Control",$K884=1),$L884,"")</f>
        <v/>
      </c>
      <c r="T884" s="0" t="str">
        <f aca="false">IF(AND($C884="Treatment",$K884=1),$L884,"")</f>
        <v/>
      </c>
    </row>
    <row r="885" customFormat="false" ht="15" hidden="false" customHeight="false" outlineLevel="0" collapsed="false">
      <c r="A885" s="0" t="s">
        <v>916</v>
      </c>
      <c r="B885" s="2" t="n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0" t="n">
        <v>1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4</v>
      </c>
      <c r="N885" s="0" t="n">
        <v>0</v>
      </c>
      <c r="P885" s="0" t="n">
        <v>53.7</v>
      </c>
      <c r="Q885" s="0" t="str">
        <f aca="false">IF($C885="Control",$P885,"")</f>
        <v/>
      </c>
      <c r="R885" s="3" t="n">
        <f aca="false">IF($C885="Treatment",$P885,"")</f>
        <v>53.7</v>
      </c>
      <c r="S885" s="0" t="str">
        <f aca="false">IF(AND($C885="Control",$K885=1),$L885,"")</f>
        <v/>
      </c>
      <c r="T885" s="0" t="str">
        <f aca="false">IF(AND($C885="Treatment",$K885=1),$L885,"")</f>
        <v/>
      </c>
    </row>
    <row r="886" customFormat="false" ht="15" hidden="false" customHeight="false" outlineLevel="0" collapsed="false">
      <c r="A886" s="0" t="s">
        <v>917</v>
      </c>
      <c r="B886" s="2" t="n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0" t="n">
        <v>1</v>
      </c>
      <c r="I886" s="0" t="n">
        <v>1</v>
      </c>
      <c r="J886" s="0" t="n">
        <v>1</v>
      </c>
      <c r="K886" s="0" t="n">
        <v>0</v>
      </c>
      <c r="L886" s="0" t="n">
        <v>0</v>
      </c>
      <c r="M886" s="0" t="n">
        <v>0</v>
      </c>
      <c r="N886" s="0" t="n">
        <v>0</v>
      </c>
      <c r="P886" s="0" t="n">
        <v>48.8</v>
      </c>
      <c r="Q886" s="0" t="str">
        <f aca="false">IF($C886="Control",$P886,"")</f>
        <v/>
      </c>
      <c r="R886" s="3" t="n">
        <f aca="false">IF($C886="Treatment",$P886,"")</f>
        <v>48.8</v>
      </c>
      <c r="S886" s="0" t="str">
        <f aca="false">IF(AND($C886="Control",$K886=1),$L886,"")</f>
        <v/>
      </c>
      <c r="T886" s="0" t="str">
        <f aca="false">IF(AND($C886="Treatment",$K886=1),$L886,"")</f>
        <v/>
      </c>
    </row>
    <row r="887" customFormat="false" ht="15" hidden="false" customHeight="false" outlineLevel="0" collapsed="false">
      <c r="A887" s="0" t="s">
        <v>918</v>
      </c>
      <c r="B887" s="2" t="n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P887" s="0" t="n">
        <v>52.9</v>
      </c>
      <c r="Q887" s="0" t="str">
        <f aca="false">IF($C887="Control",$P887,"")</f>
        <v/>
      </c>
      <c r="R887" s="3" t="n">
        <f aca="false">IF($C887="Treatment",$P887,"")</f>
        <v>52.9</v>
      </c>
      <c r="S887" s="0" t="str">
        <f aca="false">IF(AND($C887="Control",$K887=1),$L887,"")</f>
        <v/>
      </c>
      <c r="T887" s="0" t="str">
        <f aca="false">IF(AND($C887="Treatment",$K887=1),$L887,"")</f>
        <v/>
      </c>
    </row>
    <row r="888" customFormat="false" ht="15" hidden="false" customHeight="false" outlineLevel="0" collapsed="false">
      <c r="A888" s="0" t="s">
        <v>919</v>
      </c>
      <c r="B888" s="2" t="n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0" t="n">
        <v>1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P888" s="0" t="n">
        <v>42.4</v>
      </c>
      <c r="Q888" s="0" t="str">
        <f aca="false">IF($C888="Control",$P888,"")</f>
        <v/>
      </c>
      <c r="R888" s="3" t="n">
        <f aca="false">IF($C888="Treatment",$P888,"")</f>
        <v>42.4</v>
      </c>
      <c r="S888" s="0" t="str">
        <f aca="false">IF(AND($C888="Control",$K888=1),$L888,"")</f>
        <v/>
      </c>
      <c r="T888" s="0" t="str">
        <f aca="false">IF(AND($C888="Treatment",$K888=1),$L888,"")</f>
        <v/>
      </c>
    </row>
    <row r="889" customFormat="false" ht="15" hidden="false" customHeight="false" outlineLevel="0" collapsed="false">
      <c r="A889" s="0" t="s">
        <v>920</v>
      </c>
      <c r="B889" s="2" t="n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0" t="n">
        <v>1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P889" s="0" t="n">
        <v>58.7</v>
      </c>
      <c r="Q889" s="0" t="str">
        <f aca="false">IF($C889="Control",$P889,"")</f>
        <v/>
      </c>
      <c r="R889" s="3" t="n">
        <f aca="false">IF($C889="Treatment",$P889,"")</f>
        <v>58.7</v>
      </c>
      <c r="S889" s="0" t="str">
        <f aca="false">IF(AND($C889="Control",$K889=1),$L889,"")</f>
        <v/>
      </c>
      <c r="T889" s="0" t="str">
        <f aca="false">IF(AND($C889="Treatment",$K889=1),$L889,"")</f>
        <v/>
      </c>
    </row>
    <row r="890" customFormat="false" ht="15" hidden="false" customHeight="false" outlineLevel="0" collapsed="false">
      <c r="A890" s="0" t="s">
        <v>921</v>
      </c>
      <c r="B890" s="2" t="n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0" t="n">
        <v>1</v>
      </c>
      <c r="I890" s="0" t="n">
        <v>1</v>
      </c>
      <c r="J890" s="0" t="n">
        <v>1</v>
      </c>
      <c r="K890" s="0" t="n">
        <v>1</v>
      </c>
      <c r="L890" s="0" t="n">
        <v>2064.55</v>
      </c>
      <c r="M890" s="0" t="n">
        <v>0</v>
      </c>
      <c r="N890" s="0" t="n">
        <v>0</v>
      </c>
      <c r="O890" s="0" t="n">
        <v>1</v>
      </c>
      <c r="P890" s="0" t="n">
        <v>67.8</v>
      </c>
      <c r="Q890" s="0" t="str">
        <f aca="false">IF($C890="Control",$P890,"")</f>
        <v/>
      </c>
      <c r="R890" s="3" t="n">
        <f aca="false">IF($C890="Treatment",$P890,"")</f>
        <v>67.8</v>
      </c>
      <c r="S890" s="0" t="str">
        <f aca="false">IF(AND($C890="Control",$K890=1),$L890,"")</f>
        <v/>
      </c>
      <c r="T890" s="3" t="n">
        <f aca="false">IF(AND($C890="Treatment",$K890=1),$L890,"")</f>
        <v>2064.55</v>
      </c>
    </row>
    <row r="891" customFormat="false" ht="15" hidden="false" customHeight="false" outlineLevel="0" collapsed="false">
      <c r="A891" s="0" t="s">
        <v>922</v>
      </c>
      <c r="B891" s="2" t="n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0" t="n">
        <v>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P891" s="0" t="n">
        <v>62.6</v>
      </c>
      <c r="Q891" s="0" t="str">
        <f aca="false">IF($C891="Control",$P891,"")</f>
        <v/>
      </c>
      <c r="R891" s="3" t="n">
        <f aca="false">IF($C891="Treatment",$P891,"")</f>
        <v>62.6</v>
      </c>
      <c r="S891" s="0" t="str">
        <f aca="false">IF(AND($C891="Control",$K891=1),$L891,"")</f>
        <v/>
      </c>
      <c r="T891" s="0" t="str">
        <f aca="false">IF(AND($C891="Treatment",$K891=1),$L891,"")</f>
        <v/>
      </c>
    </row>
    <row r="892" customFormat="false" ht="15" hidden="false" customHeight="false" outlineLevel="0" collapsed="false">
      <c r="A892" s="0" t="s">
        <v>923</v>
      </c>
      <c r="B892" s="2" t="n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0" t="n">
        <v>1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P892" s="0" t="n">
        <v>82.4</v>
      </c>
      <c r="Q892" s="0" t="str">
        <f aca="false">IF($C892="Control",$P892,"")</f>
        <v/>
      </c>
      <c r="R892" s="3" t="n">
        <f aca="false">IF($C892="Treatment",$P892,"")</f>
        <v>82.4</v>
      </c>
      <c r="S892" s="0" t="str">
        <f aca="false">IF(AND($C892="Control",$K892=1),$L892,"")</f>
        <v/>
      </c>
      <c r="T892" s="0" t="str">
        <f aca="false">IF(AND($C892="Treatment",$K892=1),$L892,"")</f>
        <v/>
      </c>
    </row>
    <row r="893" customFormat="false" ht="15" hidden="false" customHeight="false" outlineLevel="0" collapsed="false">
      <c r="A893" s="0" t="s">
        <v>924</v>
      </c>
      <c r="B893" s="2" t="n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0" t="n">
        <v>1</v>
      </c>
      <c r="I893" s="0" t="n">
        <v>1</v>
      </c>
      <c r="J893" s="0" t="n">
        <v>1</v>
      </c>
      <c r="K893" s="0" t="n">
        <v>0</v>
      </c>
      <c r="L893" s="0" t="n">
        <v>0</v>
      </c>
      <c r="M893" s="0" t="n">
        <v>0</v>
      </c>
      <c r="N893" s="0" t="n">
        <v>0</v>
      </c>
      <c r="P893" s="0" t="n">
        <v>50.4</v>
      </c>
      <c r="Q893" s="0" t="str">
        <f aca="false">IF($C893="Control",$P893,"")</f>
        <v/>
      </c>
      <c r="R893" s="3" t="n">
        <f aca="false">IF($C893="Treatment",$P893,"")</f>
        <v>50.4</v>
      </c>
      <c r="S893" s="0" t="str">
        <f aca="false">IF(AND($C893="Control",$K893=1),$L893,"")</f>
        <v/>
      </c>
      <c r="T893" s="0" t="str">
        <f aca="false">IF(AND($C893="Treatment",$K893=1),$L893,"")</f>
        <v/>
      </c>
    </row>
    <row r="894" customFormat="false" ht="15" hidden="false" customHeight="false" outlineLevel="0" collapsed="false">
      <c r="A894" s="0" t="s">
        <v>925</v>
      </c>
      <c r="B894" s="2" t="n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P894" s="0" t="n">
        <v>68.4</v>
      </c>
      <c r="Q894" s="0" t="str">
        <f aca="false">IF($C894="Control",$P894,"")</f>
        <v/>
      </c>
      <c r="R894" s="3" t="n">
        <f aca="false">IF($C894="Treatment",$P894,"")</f>
        <v>68.4</v>
      </c>
      <c r="S894" s="0" t="str">
        <f aca="false">IF(AND($C894="Control",$K894=1),$L894,"")</f>
        <v/>
      </c>
      <c r="T894" s="0" t="str">
        <f aca="false">IF(AND($C894="Treatment",$K894=1),$L894,"")</f>
        <v/>
      </c>
    </row>
    <row r="895" customFormat="false" ht="15" hidden="false" customHeight="false" outlineLevel="0" collapsed="false">
      <c r="A895" s="0" t="s">
        <v>926</v>
      </c>
      <c r="B895" s="2" t="n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0" t="n">
        <v>1</v>
      </c>
      <c r="I895" s="0" t="n">
        <v>1</v>
      </c>
      <c r="J895" s="0" t="n">
        <v>1</v>
      </c>
      <c r="K895" s="0" t="n">
        <v>0</v>
      </c>
      <c r="L895" s="0" t="n">
        <v>0</v>
      </c>
      <c r="M895" s="0" t="n">
        <v>0</v>
      </c>
      <c r="N895" s="0" t="n">
        <v>0</v>
      </c>
      <c r="P895" s="0" t="n">
        <v>58.8</v>
      </c>
      <c r="Q895" s="0" t="str">
        <f aca="false">IF($C895="Control",$P895,"")</f>
        <v/>
      </c>
      <c r="R895" s="3" t="n">
        <f aca="false">IF($C895="Treatment",$P895,"")</f>
        <v>58.8</v>
      </c>
      <c r="S895" s="0" t="str">
        <f aca="false">IF(AND($C895="Control",$K895=1),$L895,"")</f>
        <v/>
      </c>
      <c r="T895" s="0" t="str">
        <f aca="false">IF(AND($C895="Treatment",$K895=1),$L895,"")</f>
        <v/>
      </c>
    </row>
    <row r="896" customFormat="false" ht="15" hidden="false" customHeight="false" outlineLevel="0" collapsed="false">
      <c r="A896" s="0" t="s">
        <v>927</v>
      </c>
      <c r="B896" s="2" t="n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0" t="n">
        <v>1</v>
      </c>
      <c r="I896" s="0" t="n">
        <v>1</v>
      </c>
      <c r="J896" s="0" t="n">
        <v>0</v>
      </c>
      <c r="K896" s="0" t="n">
        <v>0</v>
      </c>
      <c r="L896" s="0" t="n">
        <v>0</v>
      </c>
      <c r="M896" s="0" t="n">
        <v>2</v>
      </c>
      <c r="N896" s="0" t="n">
        <v>0</v>
      </c>
      <c r="P896" s="0" t="n">
        <v>28.3</v>
      </c>
      <c r="Q896" s="0" t="str">
        <f aca="false">IF($C896="Control",$P896,"")</f>
        <v/>
      </c>
      <c r="R896" s="3" t="n">
        <f aca="false">IF($C896="Treatment",$P896,"")</f>
        <v>28.3</v>
      </c>
      <c r="S896" s="0" t="str">
        <f aca="false">IF(AND($C896="Control",$K896=1),$L896,"")</f>
        <v/>
      </c>
      <c r="T896" s="0" t="str">
        <f aca="false">IF(AND($C896="Treatment",$K896=1),$L896,"")</f>
        <v/>
      </c>
    </row>
    <row r="897" customFormat="false" ht="15" hidden="false" customHeight="false" outlineLevel="0" collapsed="false">
      <c r="A897" s="0" t="s">
        <v>928</v>
      </c>
      <c r="B897" s="2" t="n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0" t="n">
        <v>1</v>
      </c>
      <c r="I897" s="0" t="n">
        <v>1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P897" s="0" t="n">
        <v>44.1</v>
      </c>
      <c r="Q897" s="0" t="str">
        <f aca="false">IF($C897="Control",$P897,"")</f>
        <v/>
      </c>
      <c r="R897" s="3" t="n">
        <f aca="false">IF($C897="Treatment",$P897,"")</f>
        <v>44.1</v>
      </c>
      <c r="S897" s="0" t="str">
        <f aca="false">IF(AND($C897="Control",$K897=1),$L897,"")</f>
        <v/>
      </c>
      <c r="T897" s="0" t="str">
        <f aca="false">IF(AND($C897="Treatment",$K897=1),$L897,"")</f>
        <v/>
      </c>
    </row>
    <row r="898" customFormat="false" ht="15" hidden="false" customHeight="false" outlineLevel="0" collapsed="false">
      <c r="A898" s="0" t="s">
        <v>929</v>
      </c>
      <c r="B898" s="2" t="n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0" t="n">
        <v>1</v>
      </c>
      <c r="I898" s="0" t="n">
        <v>1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P898" s="0" t="n">
        <v>66.7</v>
      </c>
      <c r="Q898" s="0" t="str">
        <f aca="false">IF($C898="Control",$P898,"")</f>
        <v/>
      </c>
      <c r="R898" s="3" t="n">
        <f aca="false">IF($C898="Treatment",$P898,"")</f>
        <v>66.7</v>
      </c>
      <c r="S898" s="0" t="str">
        <f aca="false">IF(AND($C898="Control",$K898=1),$L898,"")</f>
        <v/>
      </c>
      <c r="T898" s="0" t="str">
        <f aca="false">IF(AND($C898="Treatment",$K898=1),$L898,"")</f>
        <v/>
      </c>
    </row>
    <row r="899" customFormat="false" ht="15" hidden="false" customHeight="false" outlineLevel="0" collapsed="false">
      <c r="A899" s="0" t="s">
        <v>930</v>
      </c>
      <c r="B899" s="2" t="n">
        <v>45690</v>
      </c>
      <c r="C899" s="3" t="s">
        <v>723</v>
      </c>
      <c r="D899" s="3" t="s">
        <v>32</v>
      </c>
      <c r="E899" s="3" t="s">
        <v>24</v>
      </c>
      <c r="F899" s="3" t="s">
        <v>1470</v>
      </c>
      <c r="G899" s="3" t="s">
        <v>26</v>
      </c>
      <c r="H899" s="0" t="n">
        <v>1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P899" s="0" t="n">
        <v>100</v>
      </c>
      <c r="Q899" s="0" t="str">
        <f aca="false">IF($C899="Control",$P899,"")</f>
        <v/>
      </c>
      <c r="R899" s="3" t="n">
        <f aca="false">IF($C899="Treatment",$P899,"")</f>
        <v>100</v>
      </c>
      <c r="S899" s="0" t="str">
        <f aca="false">IF(AND($C899="Control",$K899=1),$L899,"")</f>
        <v/>
      </c>
      <c r="T899" s="0" t="str">
        <f aca="false">IF(AND($C899="Treatment",$K899=1),$L899,"")</f>
        <v/>
      </c>
    </row>
    <row r="900" customFormat="false" ht="15" hidden="false" customHeight="false" outlineLevel="0" collapsed="false">
      <c r="A900" s="0" t="s">
        <v>931</v>
      </c>
      <c r="B900" s="2" t="n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0" t="n">
        <v>1</v>
      </c>
      <c r="I900" s="0" t="n">
        <v>1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P900" s="0" t="n">
        <v>87.5</v>
      </c>
      <c r="Q900" s="0" t="str">
        <f aca="false">IF($C900="Control",$P900,"")</f>
        <v/>
      </c>
      <c r="R900" s="3" t="n">
        <f aca="false">IF($C900="Treatment",$P900,"")</f>
        <v>87.5</v>
      </c>
      <c r="S900" s="0" t="str">
        <f aca="false">IF(AND($C900="Control",$K900=1),$L900,"")</f>
        <v/>
      </c>
      <c r="T900" s="0" t="str">
        <f aca="false">IF(AND($C900="Treatment",$K900=1),$L900,"")</f>
        <v/>
      </c>
    </row>
    <row r="901" customFormat="false" ht="15" hidden="false" customHeight="false" outlineLevel="0" collapsed="false">
      <c r="A901" s="0" t="s">
        <v>932</v>
      </c>
      <c r="B901" s="2" t="n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0" t="n">
        <v>1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2</v>
      </c>
      <c r="N901" s="0" t="n">
        <v>0</v>
      </c>
      <c r="P901" s="0" t="n">
        <v>65.4</v>
      </c>
      <c r="Q901" s="0" t="str">
        <f aca="false">IF($C901="Control",$P901,"")</f>
        <v/>
      </c>
      <c r="R901" s="3" t="n">
        <f aca="false">IF($C901="Treatment",$P901,"")</f>
        <v>65.4</v>
      </c>
      <c r="S901" s="0" t="str">
        <f aca="false">IF(AND($C901="Control",$K901=1),$L901,"")</f>
        <v/>
      </c>
      <c r="T901" s="0" t="str">
        <f aca="false">IF(AND($C901="Treatment",$K901=1),$L901,"")</f>
        <v/>
      </c>
    </row>
    <row r="902" customFormat="false" ht="15" hidden="false" customHeight="false" outlineLevel="0" collapsed="false">
      <c r="A902" s="0" t="s">
        <v>933</v>
      </c>
      <c r="B902" s="2" t="n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0" t="n">
        <v>1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P902" s="0" t="n">
        <v>22.9</v>
      </c>
      <c r="Q902" s="0" t="str">
        <f aca="false">IF($C902="Control",$P902,"")</f>
        <v/>
      </c>
      <c r="R902" s="3" t="n">
        <f aca="false">IF($C902="Treatment",$P902,"")</f>
        <v>22.9</v>
      </c>
      <c r="S902" s="0" t="str">
        <f aca="false">IF(AND($C902="Control",$K902=1),$L902,"")</f>
        <v/>
      </c>
      <c r="T902" s="0" t="str">
        <f aca="false">IF(AND($C902="Treatment",$K902=1),$L902,"")</f>
        <v/>
      </c>
    </row>
    <row r="903" customFormat="false" ht="15" hidden="false" customHeight="false" outlineLevel="0" collapsed="false">
      <c r="A903" s="0" t="s">
        <v>934</v>
      </c>
      <c r="B903" s="2" t="n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P903" s="0" t="n">
        <v>64.6</v>
      </c>
      <c r="Q903" s="0" t="str">
        <f aca="false">IF($C903="Control",$P903,"")</f>
        <v/>
      </c>
      <c r="R903" s="3" t="n">
        <f aca="false">IF($C903="Treatment",$P903,"")</f>
        <v>64.6</v>
      </c>
      <c r="S903" s="0" t="str">
        <f aca="false">IF(AND($C903="Control",$K903=1),$L903,"")</f>
        <v/>
      </c>
      <c r="T903" s="0" t="str">
        <f aca="false">IF(AND($C903="Treatment",$K903=1),$L903,"")</f>
        <v/>
      </c>
    </row>
    <row r="904" customFormat="false" ht="15" hidden="false" customHeight="false" outlineLevel="0" collapsed="false">
      <c r="A904" s="0" t="s">
        <v>935</v>
      </c>
      <c r="B904" s="2" t="n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0" t="n">
        <v>1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2</v>
      </c>
      <c r="N904" s="0" t="n">
        <v>0</v>
      </c>
      <c r="P904" s="0" t="n">
        <v>54.4</v>
      </c>
      <c r="Q904" s="0" t="str">
        <f aca="false">IF($C904="Control",$P904,"")</f>
        <v/>
      </c>
      <c r="R904" s="3" t="n">
        <f aca="false">IF($C904="Treatment",$P904,"")</f>
        <v>54.4</v>
      </c>
      <c r="S904" s="0" t="str">
        <f aca="false">IF(AND($C904="Control",$K904=1),$L904,"")</f>
        <v/>
      </c>
      <c r="T904" s="0" t="str">
        <f aca="false">IF(AND($C904="Treatment",$K904=1),$L904,"")</f>
        <v/>
      </c>
    </row>
    <row r="905" customFormat="false" ht="15" hidden="false" customHeight="false" outlineLevel="0" collapsed="false">
      <c r="A905" s="0" t="s">
        <v>936</v>
      </c>
      <c r="B905" s="2" t="n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0" t="n">
        <v>1</v>
      </c>
      <c r="I905" s="0" t="n">
        <v>1</v>
      </c>
      <c r="J905" s="0" t="n">
        <v>1</v>
      </c>
      <c r="K905" s="0" t="n">
        <v>0</v>
      </c>
      <c r="L905" s="0" t="n">
        <v>0</v>
      </c>
      <c r="M905" s="0" t="n">
        <v>0</v>
      </c>
      <c r="N905" s="0" t="n">
        <v>0</v>
      </c>
      <c r="P905" s="0" t="n">
        <v>56.8</v>
      </c>
      <c r="Q905" s="0" t="str">
        <f aca="false">IF($C905="Control",$P905,"")</f>
        <v/>
      </c>
      <c r="R905" s="3" t="n">
        <f aca="false">IF($C905="Treatment",$P905,"")</f>
        <v>56.8</v>
      </c>
      <c r="S905" s="0" t="str">
        <f aca="false">IF(AND($C905="Control",$K905=1),$L905,"")</f>
        <v/>
      </c>
      <c r="T905" s="0" t="str">
        <f aca="false">IF(AND($C905="Treatment",$K905=1),$L905,"")</f>
        <v/>
      </c>
    </row>
    <row r="906" customFormat="false" ht="15" hidden="false" customHeight="false" outlineLevel="0" collapsed="false">
      <c r="A906" s="0" t="s">
        <v>937</v>
      </c>
      <c r="B906" s="2" t="n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0" t="n">
        <v>1</v>
      </c>
      <c r="I906" s="0" t="n">
        <v>1</v>
      </c>
      <c r="J906" s="0" t="n">
        <v>1</v>
      </c>
      <c r="K906" s="0" t="n">
        <v>1</v>
      </c>
      <c r="L906" s="0" t="n">
        <v>341.38</v>
      </c>
      <c r="M906" s="0" t="n">
        <v>0</v>
      </c>
      <c r="N906" s="0" t="n">
        <v>0</v>
      </c>
      <c r="O906" s="0" t="n">
        <v>2</v>
      </c>
      <c r="P906" s="0" t="n">
        <v>63.6</v>
      </c>
      <c r="Q906" s="0" t="str">
        <f aca="false">IF($C906="Control",$P906,"")</f>
        <v/>
      </c>
      <c r="R906" s="3" t="n">
        <f aca="false">IF($C906="Treatment",$P906,"")</f>
        <v>63.6</v>
      </c>
      <c r="S906" s="0" t="str">
        <f aca="false">IF(AND($C906="Control",$K906=1),$L906,"")</f>
        <v/>
      </c>
      <c r="T906" s="3" t="n">
        <f aca="false">IF(AND($C906="Treatment",$K906=1),$L906,"")</f>
        <v>341.38</v>
      </c>
    </row>
    <row r="907" customFormat="false" ht="15" hidden="false" customHeight="false" outlineLevel="0" collapsed="false">
      <c r="A907" s="0" t="s">
        <v>938</v>
      </c>
      <c r="B907" s="2" t="n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0" t="n">
        <v>1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P907" s="0" t="n">
        <v>58.2</v>
      </c>
      <c r="Q907" s="0" t="str">
        <f aca="false">IF($C907="Control",$P907,"")</f>
        <v/>
      </c>
      <c r="R907" s="3" t="n">
        <f aca="false">IF($C907="Treatment",$P907,"")</f>
        <v>58.2</v>
      </c>
      <c r="S907" s="0" t="str">
        <f aca="false">IF(AND($C907="Control",$K907=1),$L907,"")</f>
        <v/>
      </c>
      <c r="T907" s="0" t="str">
        <f aca="false">IF(AND($C907="Treatment",$K907=1),$L907,"")</f>
        <v/>
      </c>
    </row>
    <row r="908" customFormat="false" ht="15" hidden="false" customHeight="false" outlineLevel="0" collapsed="false">
      <c r="A908" s="0" t="s">
        <v>939</v>
      </c>
      <c r="B908" s="2" t="n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0" t="n">
        <v>1</v>
      </c>
      <c r="I908" s="0" t="n">
        <v>1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P908" s="0" t="n">
        <v>54.6</v>
      </c>
      <c r="Q908" s="0" t="str">
        <f aca="false">IF($C908="Control",$P908,"")</f>
        <v/>
      </c>
      <c r="R908" s="3" t="n">
        <f aca="false">IF($C908="Treatment",$P908,"")</f>
        <v>54.6</v>
      </c>
      <c r="S908" s="0" t="str">
        <f aca="false">IF(AND($C908="Control",$K908=1),$L908,"")</f>
        <v/>
      </c>
      <c r="T908" s="0" t="str">
        <f aca="false">IF(AND($C908="Treatment",$K908=1),$L908,"")</f>
        <v/>
      </c>
    </row>
    <row r="909" customFormat="false" ht="15" hidden="false" customHeight="false" outlineLevel="0" collapsed="false">
      <c r="A909" s="0" t="s">
        <v>940</v>
      </c>
      <c r="B909" s="2" t="n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0" t="n">
        <v>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P909" s="0" t="n">
        <v>81.9</v>
      </c>
      <c r="Q909" s="0" t="str">
        <f aca="false">IF($C909="Control",$P909,"")</f>
        <v/>
      </c>
      <c r="R909" s="3" t="n">
        <f aca="false">IF($C909="Treatment",$P909,"")</f>
        <v>81.9</v>
      </c>
      <c r="S909" s="0" t="str">
        <f aca="false">IF(AND($C909="Control",$K909=1),$L909,"")</f>
        <v/>
      </c>
      <c r="T909" s="0" t="str">
        <f aca="false">IF(AND($C909="Treatment",$K909=1),$L909,"")</f>
        <v/>
      </c>
    </row>
    <row r="910" customFormat="false" ht="15" hidden="false" customHeight="false" outlineLevel="0" collapsed="false">
      <c r="A910" s="0" t="s">
        <v>941</v>
      </c>
      <c r="B910" s="2" t="n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0" t="n">
        <v>1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3</v>
      </c>
      <c r="N910" s="0" t="n">
        <v>0</v>
      </c>
      <c r="P910" s="0" t="n">
        <v>53.3</v>
      </c>
      <c r="Q910" s="0" t="str">
        <f aca="false">IF($C910="Control",$P910,"")</f>
        <v/>
      </c>
      <c r="R910" s="3" t="n">
        <f aca="false">IF($C910="Treatment",$P910,"")</f>
        <v>53.3</v>
      </c>
      <c r="S910" s="0" t="str">
        <f aca="false">IF(AND($C910="Control",$K910=1),$L910,"")</f>
        <v/>
      </c>
      <c r="T910" s="0" t="str">
        <f aca="false">IF(AND($C910="Treatment",$K910=1),$L910,"")</f>
        <v/>
      </c>
    </row>
    <row r="911" customFormat="false" ht="15" hidden="false" customHeight="false" outlineLevel="0" collapsed="false">
      <c r="A911" s="0" t="s">
        <v>942</v>
      </c>
      <c r="B911" s="2" t="n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P911" s="0" t="n">
        <v>54.2</v>
      </c>
      <c r="Q911" s="0" t="str">
        <f aca="false">IF($C911="Control",$P911,"")</f>
        <v/>
      </c>
      <c r="R911" s="3" t="n">
        <f aca="false">IF($C911="Treatment",$P911,"")</f>
        <v>54.2</v>
      </c>
      <c r="S911" s="0" t="str">
        <f aca="false">IF(AND($C911="Control",$K911=1),$L911,"")</f>
        <v/>
      </c>
      <c r="T911" s="0" t="str">
        <f aca="false">IF(AND($C911="Treatment",$K911=1),$L911,"")</f>
        <v/>
      </c>
    </row>
    <row r="912" customFormat="false" ht="15" hidden="false" customHeight="false" outlineLevel="0" collapsed="false">
      <c r="A912" s="0" t="s">
        <v>943</v>
      </c>
      <c r="B912" s="2" t="n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0" t="n">
        <v>1</v>
      </c>
      <c r="I912" s="0" t="n">
        <v>1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P912" s="0" t="n">
        <v>65.6</v>
      </c>
      <c r="Q912" s="0" t="str">
        <f aca="false">IF($C912="Control",$P912,"")</f>
        <v/>
      </c>
      <c r="R912" s="3" t="n">
        <f aca="false">IF($C912="Treatment",$P912,"")</f>
        <v>65.6</v>
      </c>
      <c r="S912" s="0" t="str">
        <f aca="false">IF(AND($C912="Control",$K912=1),$L912,"")</f>
        <v/>
      </c>
      <c r="T912" s="0" t="str">
        <f aca="false">IF(AND($C912="Treatment",$K912=1),$L912,"")</f>
        <v/>
      </c>
    </row>
    <row r="913" customFormat="false" ht="15" hidden="false" customHeight="false" outlineLevel="0" collapsed="false">
      <c r="A913" s="0" t="s">
        <v>944</v>
      </c>
      <c r="B913" s="2" t="n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0" t="n">
        <v>1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0</v>
      </c>
      <c r="P913" s="0" t="n">
        <v>56.5</v>
      </c>
      <c r="Q913" s="0" t="str">
        <f aca="false">IF($C913="Control",$P913,"")</f>
        <v/>
      </c>
      <c r="R913" s="3" t="n">
        <f aca="false">IF($C913="Treatment",$P913,"")</f>
        <v>56.5</v>
      </c>
      <c r="S913" s="0" t="str">
        <f aca="false">IF(AND($C913="Control",$K913=1),$L913,"")</f>
        <v/>
      </c>
      <c r="T913" s="0" t="str">
        <f aca="false">IF(AND($C913="Treatment",$K913=1),$L913,"")</f>
        <v/>
      </c>
    </row>
    <row r="914" customFormat="false" ht="15" hidden="false" customHeight="false" outlineLevel="0" collapsed="false">
      <c r="A914" s="0" t="s">
        <v>945</v>
      </c>
      <c r="B914" s="2" t="n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0" t="n">
        <v>1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P914" s="0" t="n">
        <v>59.7</v>
      </c>
      <c r="Q914" s="0" t="str">
        <f aca="false">IF($C914="Control",$P914,"")</f>
        <v/>
      </c>
      <c r="R914" s="3" t="n">
        <f aca="false">IF($C914="Treatment",$P914,"")</f>
        <v>59.7</v>
      </c>
      <c r="S914" s="0" t="str">
        <f aca="false">IF(AND($C914="Control",$K914=1),$L914,"")</f>
        <v/>
      </c>
      <c r="T914" s="0" t="str">
        <f aca="false">IF(AND($C914="Treatment",$K914=1),$L914,"")</f>
        <v/>
      </c>
    </row>
    <row r="915" customFormat="false" ht="15" hidden="false" customHeight="false" outlineLevel="0" collapsed="false">
      <c r="A915" s="0" t="s">
        <v>946</v>
      </c>
      <c r="B915" s="2" t="n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0" t="n">
        <v>1</v>
      </c>
      <c r="I915" s="0" t="n">
        <v>1</v>
      </c>
      <c r="J915" s="0" t="n">
        <v>1</v>
      </c>
      <c r="K915" s="0" t="n">
        <v>0</v>
      </c>
      <c r="L915" s="0" t="n">
        <v>0</v>
      </c>
      <c r="M915" s="0" t="n">
        <v>0</v>
      </c>
      <c r="N915" s="0" t="n">
        <v>0</v>
      </c>
      <c r="P915" s="0" t="n">
        <v>72.5</v>
      </c>
      <c r="Q915" s="0" t="str">
        <f aca="false">IF($C915="Control",$P915,"")</f>
        <v/>
      </c>
      <c r="R915" s="3" t="n">
        <f aca="false">IF($C915="Treatment",$P915,"")</f>
        <v>72.5</v>
      </c>
      <c r="S915" s="0" t="str">
        <f aca="false">IF(AND($C915="Control",$K915=1),$L915,"")</f>
        <v/>
      </c>
      <c r="T915" s="0" t="str">
        <f aca="false">IF(AND($C915="Treatment",$K915=1),$L915,"")</f>
        <v/>
      </c>
    </row>
    <row r="916" customFormat="false" ht="15" hidden="false" customHeight="false" outlineLevel="0" collapsed="false">
      <c r="A916" s="0" t="s">
        <v>947</v>
      </c>
      <c r="B916" s="2" t="n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0" t="n">
        <v>1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P916" s="0" t="n">
        <v>64.3</v>
      </c>
      <c r="Q916" s="0" t="str">
        <f aca="false">IF($C916="Control",$P916,"")</f>
        <v/>
      </c>
      <c r="R916" s="3" t="n">
        <f aca="false">IF($C916="Treatment",$P916,"")</f>
        <v>64.3</v>
      </c>
      <c r="S916" s="0" t="str">
        <f aca="false">IF(AND($C916="Control",$K916=1),$L916,"")</f>
        <v/>
      </c>
      <c r="T916" s="0" t="str">
        <f aca="false">IF(AND($C916="Treatment",$K916=1),$L916,"")</f>
        <v/>
      </c>
    </row>
    <row r="917" customFormat="false" ht="15" hidden="false" customHeight="false" outlineLevel="0" collapsed="false">
      <c r="A917" s="0" t="s">
        <v>948</v>
      </c>
      <c r="B917" s="2" t="n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0" t="n">
        <v>1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P917" s="0" t="n">
        <v>64.5</v>
      </c>
      <c r="Q917" s="0" t="str">
        <f aca="false">IF($C917="Control",$P917,"")</f>
        <v/>
      </c>
      <c r="R917" s="3" t="n">
        <f aca="false">IF($C917="Treatment",$P917,"")</f>
        <v>64.5</v>
      </c>
      <c r="S917" s="0" t="str">
        <f aca="false">IF(AND($C917="Control",$K917=1),$L917,"")</f>
        <v/>
      </c>
      <c r="T917" s="0" t="str">
        <f aca="false">IF(AND($C917="Treatment",$K917=1),$L917,"")</f>
        <v/>
      </c>
    </row>
    <row r="918" customFormat="false" ht="15" hidden="false" customHeight="false" outlineLevel="0" collapsed="false">
      <c r="A918" s="0" t="s">
        <v>949</v>
      </c>
      <c r="B918" s="2" t="n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0" t="n">
        <v>1</v>
      </c>
      <c r="I918" s="0" t="n">
        <v>1</v>
      </c>
      <c r="J918" s="0" t="n">
        <v>1</v>
      </c>
      <c r="K918" s="0" t="n">
        <v>0</v>
      </c>
      <c r="L918" s="0" t="n">
        <v>0</v>
      </c>
      <c r="M918" s="0" t="n">
        <v>0</v>
      </c>
      <c r="N918" s="0" t="n">
        <v>0</v>
      </c>
      <c r="P918" s="0" t="n">
        <v>70.6</v>
      </c>
      <c r="Q918" s="0" t="str">
        <f aca="false">IF($C918="Control",$P918,"")</f>
        <v/>
      </c>
      <c r="R918" s="3" t="n">
        <f aca="false">IF($C918="Treatment",$P918,"")</f>
        <v>70.6</v>
      </c>
      <c r="S918" s="0" t="str">
        <f aca="false">IF(AND($C918="Control",$K918=1),$L918,"")</f>
        <v/>
      </c>
      <c r="T918" s="0" t="str">
        <f aca="false">IF(AND($C918="Treatment",$K918=1),$L918,"")</f>
        <v/>
      </c>
    </row>
    <row r="919" customFormat="false" ht="15" hidden="false" customHeight="false" outlineLevel="0" collapsed="false">
      <c r="A919" s="0" t="s">
        <v>950</v>
      </c>
      <c r="B919" s="2" t="n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P919" s="0" t="n">
        <v>58.4</v>
      </c>
      <c r="Q919" s="0" t="str">
        <f aca="false">IF($C919="Control",$P919,"")</f>
        <v/>
      </c>
      <c r="R919" s="3" t="n">
        <f aca="false">IF($C919="Treatment",$P919,"")</f>
        <v>58.4</v>
      </c>
      <c r="S919" s="0" t="str">
        <f aca="false">IF(AND($C919="Control",$K919=1),$L919,"")</f>
        <v/>
      </c>
      <c r="T919" s="0" t="str">
        <f aca="false">IF(AND($C919="Treatment",$K919=1),$L919,"")</f>
        <v/>
      </c>
    </row>
    <row r="920" customFormat="false" ht="15" hidden="false" customHeight="false" outlineLevel="0" collapsed="false">
      <c r="A920" s="0" t="s">
        <v>951</v>
      </c>
      <c r="B920" s="2" t="n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0" t="n">
        <v>1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P920" s="0" t="n">
        <v>56.6</v>
      </c>
      <c r="Q920" s="0" t="str">
        <f aca="false">IF($C920="Control",$P920,"")</f>
        <v/>
      </c>
      <c r="R920" s="3" t="n">
        <f aca="false">IF($C920="Treatment",$P920,"")</f>
        <v>56.6</v>
      </c>
      <c r="S920" s="0" t="str">
        <f aca="false">IF(AND($C920="Control",$K920=1),$L920,"")</f>
        <v/>
      </c>
      <c r="T920" s="0" t="str">
        <f aca="false">IF(AND($C920="Treatment",$K920=1),$L920,"")</f>
        <v/>
      </c>
    </row>
    <row r="921" customFormat="false" ht="15" hidden="false" customHeight="false" outlineLevel="0" collapsed="false">
      <c r="A921" s="0" t="s">
        <v>952</v>
      </c>
      <c r="B921" s="2" t="n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0" t="n">
        <v>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P921" s="0" t="n">
        <v>61.8</v>
      </c>
      <c r="Q921" s="0" t="str">
        <f aca="false">IF($C921="Control",$P921,"")</f>
        <v/>
      </c>
      <c r="R921" s="3" t="n">
        <f aca="false">IF($C921="Treatment",$P921,"")</f>
        <v>61.8</v>
      </c>
      <c r="S921" s="0" t="str">
        <f aca="false">IF(AND($C921="Control",$K921=1),$L921,"")</f>
        <v/>
      </c>
      <c r="T921" s="0" t="str">
        <f aca="false">IF(AND($C921="Treatment",$K921=1),$L921,"")</f>
        <v/>
      </c>
    </row>
    <row r="922" customFormat="false" ht="15" hidden="false" customHeight="false" outlineLevel="0" collapsed="false">
      <c r="A922" s="0" t="s">
        <v>953</v>
      </c>
      <c r="B922" s="2" t="n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0" t="n">
        <v>1</v>
      </c>
      <c r="I922" s="0" t="n">
        <v>1</v>
      </c>
      <c r="J922" s="0" t="n">
        <v>1</v>
      </c>
      <c r="K922" s="0" t="n">
        <v>1</v>
      </c>
      <c r="L922" s="0" t="n">
        <v>513.52</v>
      </c>
      <c r="M922" s="0" t="n">
        <v>0</v>
      </c>
      <c r="N922" s="0" t="n">
        <v>0</v>
      </c>
      <c r="O922" s="0" t="n">
        <v>8</v>
      </c>
      <c r="P922" s="0" t="n">
        <v>43.4</v>
      </c>
      <c r="Q922" s="0" t="str">
        <f aca="false">IF($C922="Control",$P922,"")</f>
        <v/>
      </c>
      <c r="R922" s="3" t="n">
        <f aca="false">IF($C922="Treatment",$P922,"")</f>
        <v>43.4</v>
      </c>
      <c r="S922" s="0" t="str">
        <f aca="false">IF(AND($C922="Control",$K922=1),$L922,"")</f>
        <v/>
      </c>
      <c r="T922" s="3" t="n">
        <f aca="false">IF(AND($C922="Treatment",$K922=1),$L922,"")</f>
        <v>513.52</v>
      </c>
    </row>
    <row r="923" customFormat="false" ht="15" hidden="false" customHeight="false" outlineLevel="0" collapsed="false">
      <c r="A923" s="0" t="s">
        <v>954</v>
      </c>
      <c r="B923" s="2" t="n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P923" s="0" t="n">
        <v>43</v>
      </c>
      <c r="Q923" s="0" t="str">
        <f aca="false">IF($C923="Control",$P923,"")</f>
        <v/>
      </c>
      <c r="R923" s="3" t="n">
        <f aca="false">IF($C923="Treatment",$P923,"")</f>
        <v>43</v>
      </c>
      <c r="S923" s="0" t="str">
        <f aca="false">IF(AND($C923="Control",$K923=1),$L923,"")</f>
        <v/>
      </c>
      <c r="T923" s="0" t="str">
        <f aca="false">IF(AND($C923="Treatment",$K923=1),$L923,"")</f>
        <v/>
      </c>
    </row>
    <row r="924" customFormat="false" ht="15" hidden="false" customHeight="false" outlineLevel="0" collapsed="false">
      <c r="A924" s="0" t="s">
        <v>955</v>
      </c>
      <c r="B924" s="2" t="n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0" t="n">
        <v>1</v>
      </c>
      <c r="I924" s="0" t="n">
        <v>1</v>
      </c>
      <c r="J924" s="0" t="n">
        <v>1</v>
      </c>
      <c r="K924" s="0" t="n">
        <v>0</v>
      </c>
      <c r="L924" s="0" t="n">
        <v>0</v>
      </c>
      <c r="M924" s="0" t="n">
        <v>0</v>
      </c>
      <c r="N924" s="0" t="n">
        <v>0</v>
      </c>
      <c r="P924" s="0" t="n">
        <v>51.1</v>
      </c>
      <c r="Q924" s="0" t="str">
        <f aca="false">IF($C924="Control",$P924,"")</f>
        <v/>
      </c>
      <c r="R924" s="3" t="n">
        <f aca="false">IF($C924="Treatment",$P924,"")</f>
        <v>51.1</v>
      </c>
      <c r="S924" s="0" t="str">
        <f aca="false">IF(AND($C924="Control",$K924=1),$L924,"")</f>
        <v/>
      </c>
      <c r="T924" s="0" t="str">
        <f aca="false">IF(AND($C924="Treatment",$K924=1),$L924,"")</f>
        <v/>
      </c>
    </row>
    <row r="925" customFormat="false" ht="15" hidden="false" customHeight="false" outlineLevel="0" collapsed="false">
      <c r="A925" s="0" t="s">
        <v>956</v>
      </c>
      <c r="B925" s="2" t="n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0" t="n">
        <v>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P925" s="0" t="n">
        <v>48.8</v>
      </c>
      <c r="Q925" s="0" t="str">
        <f aca="false">IF($C925="Control",$P925,"")</f>
        <v/>
      </c>
      <c r="R925" s="3" t="n">
        <f aca="false">IF($C925="Treatment",$P925,"")</f>
        <v>48.8</v>
      </c>
      <c r="S925" s="0" t="str">
        <f aca="false">IF(AND($C925="Control",$K925=1),$L925,"")</f>
        <v/>
      </c>
      <c r="T925" s="0" t="str">
        <f aca="false">IF(AND($C925="Treatment",$K925=1),$L925,"")</f>
        <v/>
      </c>
    </row>
    <row r="926" customFormat="false" ht="15" hidden="false" customHeight="false" outlineLevel="0" collapsed="false">
      <c r="A926" s="0" t="s">
        <v>957</v>
      </c>
      <c r="B926" s="2" t="n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P926" s="0" t="n">
        <v>73.2</v>
      </c>
      <c r="Q926" s="0" t="str">
        <f aca="false">IF($C926="Control",$P926,"")</f>
        <v/>
      </c>
      <c r="R926" s="3" t="n">
        <f aca="false">IF($C926="Treatment",$P926,"")</f>
        <v>73.2</v>
      </c>
      <c r="S926" s="0" t="str">
        <f aca="false">IF(AND($C926="Control",$K926=1),$L926,"")</f>
        <v/>
      </c>
      <c r="T926" s="0" t="str">
        <f aca="false">IF(AND($C926="Treatment",$K926=1),$L926,"")</f>
        <v/>
      </c>
    </row>
    <row r="927" customFormat="false" ht="15" hidden="false" customHeight="false" outlineLevel="0" collapsed="false">
      <c r="A927" s="0" t="s">
        <v>958</v>
      </c>
      <c r="B927" s="2" t="n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0" t="n">
        <v>1</v>
      </c>
      <c r="I927" s="0" t="n">
        <v>1</v>
      </c>
      <c r="J927" s="0" t="n">
        <v>1</v>
      </c>
      <c r="K927" s="0" t="n">
        <v>0</v>
      </c>
      <c r="L927" s="0" t="n">
        <v>0</v>
      </c>
      <c r="M927" s="0" t="n">
        <v>0</v>
      </c>
      <c r="N927" s="0" t="n">
        <v>0</v>
      </c>
      <c r="P927" s="0" t="n">
        <v>80</v>
      </c>
      <c r="Q927" s="0" t="str">
        <f aca="false">IF($C927="Control",$P927,"")</f>
        <v/>
      </c>
      <c r="R927" s="3" t="n">
        <f aca="false">IF($C927="Treatment",$P927,"")</f>
        <v>80</v>
      </c>
      <c r="S927" s="0" t="str">
        <f aca="false">IF(AND($C927="Control",$K927=1),$L927,"")</f>
        <v/>
      </c>
      <c r="T927" s="0" t="str">
        <f aca="false">IF(AND($C927="Treatment",$K927=1),$L927,"")</f>
        <v/>
      </c>
    </row>
    <row r="928" customFormat="false" ht="15" hidden="false" customHeight="false" outlineLevel="0" collapsed="false">
      <c r="A928" s="0" t="s">
        <v>959</v>
      </c>
      <c r="B928" s="2" t="n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0" t="n">
        <v>1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P928" s="0" t="n">
        <v>52.3</v>
      </c>
      <c r="Q928" s="0" t="str">
        <f aca="false">IF($C928="Control",$P928,"")</f>
        <v/>
      </c>
      <c r="R928" s="3" t="n">
        <f aca="false">IF($C928="Treatment",$P928,"")</f>
        <v>52.3</v>
      </c>
      <c r="S928" s="0" t="str">
        <f aca="false">IF(AND($C928="Control",$K928=1),$L928,"")</f>
        <v/>
      </c>
      <c r="T928" s="0" t="str">
        <f aca="false">IF(AND($C928="Treatment",$K928=1),$L928,"")</f>
        <v/>
      </c>
    </row>
    <row r="929" customFormat="false" ht="15" hidden="false" customHeight="false" outlineLevel="0" collapsed="false">
      <c r="A929" s="0" t="s">
        <v>960</v>
      </c>
      <c r="B929" s="2" t="n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P929" s="0" t="n">
        <v>49.1</v>
      </c>
      <c r="Q929" s="0" t="str">
        <f aca="false">IF($C929="Control",$P929,"")</f>
        <v/>
      </c>
      <c r="R929" s="3" t="n">
        <f aca="false">IF($C929="Treatment",$P929,"")</f>
        <v>49.1</v>
      </c>
      <c r="S929" s="0" t="str">
        <f aca="false">IF(AND($C929="Control",$K929=1),$L929,"")</f>
        <v/>
      </c>
      <c r="T929" s="0" t="str">
        <f aca="false">IF(AND($C929="Treatment",$K929=1),$L929,"")</f>
        <v/>
      </c>
    </row>
    <row r="930" customFormat="false" ht="15" hidden="false" customHeight="false" outlineLevel="0" collapsed="false">
      <c r="A930" s="0" t="s">
        <v>961</v>
      </c>
      <c r="B930" s="2" t="n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P930" s="0" t="n">
        <v>45.3</v>
      </c>
      <c r="Q930" s="0" t="str">
        <f aca="false">IF($C930="Control",$P930,"")</f>
        <v/>
      </c>
      <c r="R930" s="3" t="n">
        <f aca="false">IF($C930="Treatment",$P930,"")</f>
        <v>45.3</v>
      </c>
      <c r="S930" s="0" t="str">
        <f aca="false">IF(AND($C930="Control",$K930=1),$L930,"")</f>
        <v/>
      </c>
      <c r="T930" s="0" t="str">
        <f aca="false">IF(AND($C930="Treatment",$K930=1),$L930,"")</f>
        <v/>
      </c>
    </row>
    <row r="931" customFormat="false" ht="15" hidden="false" customHeight="false" outlineLevel="0" collapsed="false">
      <c r="A931" s="0" t="s">
        <v>962</v>
      </c>
      <c r="B931" s="2" t="n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0" t="n">
        <v>1</v>
      </c>
      <c r="I931" s="0" t="n">
        <v>1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P931" s="0" t="n">
        <v>49.1</v>
      </c>
      <c r="Q931" s="0" t="str">
        <f aca="false">IF($C931="Control",$P931,"")</f>
        <v/>
      </c>
      <c r="R931" s="3" t="n">
        <f aca="false">IF($C931="Treatment",$P931,"")</f>
        <v>49.1</v>
      </c>
      <c r="S931" s="0" t="str">
        <f aca="false">IF(AND($C931="Control",$K931=1),$L931,"")</f>
        <v/>
      </c>
      <c r="T931" s="0" t="str">
        <f aca="false">IF(AND($C931="Treatment",$K931=1),$L931,"")</f>
        <v/>
      </c>
    </row>
    <row r="932" customFormat="false" ht="15" hidden="false" customHeight="false" outlineLevel="0" collapsed="false">
      <c r="A932" s="0" t="s">
        <v>963</v>
      </c>
      <c r="B932" s="2" t="n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0" t="n">
        <v>1</v>
      </c>
      <c r="I932" s="0" t="n">
        <v>1</v>
      </c>
      <c r="J932" s="0" t="n">
        <v>1</v>
      </c>
      <c r="K932" s="0" t="n">
        <v>1</v>
      </c>
      <c r="L932" s="0" t="n">
        <v>476.44</v>
      </c>
      <c r="M932" s="0" t="n">
        <v>0</v>
      </c>
      <c r="N932" s="0" t="n">
        <v>0</v>
      </c>
      <c r="O932" s="0" t="n">
        <v>3</v>
      </c>
      <c r="P932" s="0" t="n">
        <v>88.6</v>
      </c>
      <c r="Q932" s="0" t="str">
        <f aca="false">IF($C932="Control",$P932,"")</f>
        <v/>
      </c>
      <c r="R932" s="3" t="n">
        <f aca="false">IF($C932="Treatment",$P932,"")</f>
        <v>88.6</v>
      </c>
      <c r="S932" s="0" t="str">
        <f aca="false">IF(AND($C932="Control",$K932=1),$L932,"")</f>
        <v/>
      </c>
      <c r="T932" s="3" t="n">
        <f aca="false">IF(AND($C932="Treatment",$K932=1),$L932,"")</f>
        <v>476.44</v>
      </c>
    </row>
    <row r="933" customFormat="false" ht="15" hidden="false" customHeight="false" outlineLevel="0" collapsed="false">
      <c r="A933" s="0" t="s">
        <v>964</v>
      </c>
      <c r="B933" s="2" t="n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0</v>
      </c>
      <c r="P933" s="0" t="n">
        <v>54.4</v>
      </c>
      <c r="Q933" s="0" t="str">
        <f aca="false">IF($C933="Control",$P933,"")</f>
        <v/>
      </c>
      <c r="R933" s="3" t="n">
        <f aca="false">IF($C933="Treatment",$P933,"")</f>
        <v>54.4</v>
      </c>
      <c r="S933" s="0" t="str">
        <f aca="false">IF(AND($C933="Control",$K933=1),$L933,"")</f>
        <v/>
      </c>
      <c r="T933" s="0" t="str">
        <f aca="false">IF(AND($C933="Treatment",$K933=1),$L933,"")</f>
        <v/>
      </c>
    </row>
    <row r="934" customFormat="false" ht="15" hidden="false" customHeight="false" outlineLevel="0" collapsed="false">
      <c r="A934" s="0" t="s">
        <v>965</v>
      </c>
      <c r="B934" s="2" t="n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0" t="n">
        <v>1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P934" s="0" t="n">
        <v>72.9</v>
      </c>
      <c r="Q934" s="0" t="str">
        <f aca="false">IF($C934="Control",$P934,"")</f>
        <v/>
      </c>
      <c r="R934" s="3" t="n">
        <f aca="false">IF($C934="Treatment",$P934,"")</f>
        <v>72.9</v>
      </c>
      <c r="S934" s="0" t="str">
        <f aca="false">IF(AND($C934="Control",$K934=1),$L934,"")</f>
        <v/>
      </c>
      <c r="T934" s="0" t="str">
        <f aca="false">IF(AND($C934="Treatment",$K934=1),$L934,"")</f>
        <v/>
      </c>
    </row>
    <row r="935" customFormat="false" ht="15" hidden="false" customHeight="false" outlineLevel="0" collapsed="false">
      <c r="A935" s="0" t="s">
        <v>966</v>
      </c>
      <c r="B935" s="2" t="n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0" t="n">
        <v>1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P935" s="0" t="n">
        <v>53.2</v>
      </c>
      <c r="Q935" s="0" t="str">
        <f aca="false">IF($C935="Control",$P935,"")</f>
        <v/>
      </c>
      <c r="R935" s="3" t="n">
        <f aca="false">IF($C935="Treatment",$P935,"")</f>
        <v>53.2</v>
      </c>
      <c r="S935" s="0" t="str">
        <f aca="false">IF(AND($C935="Control",$K935=1),$L935,"")</f>
        <v/>
      </c>
      <c r="T935" s="0" t="str">
        <f aca="false">IF(AND($C935="Treatment",$K935=1),$L935,"")</f>
        <v/>
      </c>
    </row>
    <row r="936" customFormat="false" ht="15" hidden="false" customHeight="false" outlineLevel="0" collapsed="false">
      <c r="A936" s="0" t="s">
        <v>967</v>
      </c>
      <c r="B936" s="2" t="n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0" t="n">
        <v>1</v>
      </c>
      <c r="I936" s="0" t="n">
        <v>1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P936" s="0" t="n">
        <v>48.7</v>
      </c>
      <c r="Q936" s="0" t="str">
        <f aca="false">IF($C936="Control",$P936,"")</f>
        <v/>
      </c>
      <c r="R936" s="3" t="n">
        <f aca="false">IF($C936="Treatment",$P936,"")</f>
        <v>48.7</v>
      </c>
      <c r="S936" s="0" t="str">
        <f aca="false">IF(AND($C936="Control",$K936=1),$L936,"")</f>
        <v/>
      </c>
      <c r="T936" s="0" t="str">
        <f aca="false">IF(AND($C936="Treatment",$K936=1),$L936,"")</f>
        <v/>
      </c>
    </row>
    <row r="937" customFormat="false" ht="15" hidden="false" customHeight="false" outlineLevel="0" collapsed="false">
      <c r="A937" s="0" t="s">
        <v>968</v>
      </c>
      <c r="B937" s="2" t="n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0" t="n">
        <v>1</v>
      </c>
      <c r="I937" s="0" t="n">
        <v>1</v>
      </c>
      <c r="J937" s="0" t="n">
        <v>1</v>
      </c>
      <c r="K937" s="0" t="n">
        <v>0</v>
      </c>
      <c r="L937" s="0" t="n">
        <v>0</v>
      </c>
      <c r="M937" s="0" t="n">
        <v>0</v>
      </c>
      <c r="N937" s="0" t="n">
        <v>0</v>
      </c>
      <c r="P937" s="0" t="n">
        <v>59.9</v>
      </c>
      <c r="Q937" s="0" t="str">
        <f aca="false">IF($C937="Control",$P937,"")</f>
        <v/>
      </c>
      <c r="R937" s="3" t="n">
        <f aca="false">IF($C937="Treatment",$P937,"")</f>
        <v>59.9</v>
      </c>
      <c r="S937" s="0" t="str">
        <f aca="false">IF(AND($C937="Control",$K937=1),$L937,"")</f>
        <v/>
      </c>
      <c r="T937" s="0" t="str">
        <f aca="false">IF(AND($C937="Treatment",$K937=1),$L937,"")</f>
        <v/>
      </c>
    </row>
    <row r="938" customFormat="false" ht="15" hidden="false" customHeight="false" outlineLevel="0" collapsed="false">
      <c r="A938" s="0" t="s">
        <v>969</v>
      </c>
      <c r="B938" s="2" t="n">
        <v>45798</v>
      </c>
      <c r="C938" s="3" t="s">
        <v>723</v>
      </c>
      <c r="D938" s="3" t="s">
        <v>32</v>
      </c>
      <c r="E938" s="3" t="s">
        <v>19</v>
      </c>
      <c r="F938" s="3" t="s">
        <v>1470</v>
      </c>
      <c r="G938" s="3" t="s">
        <v>21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P938" s="0" t="n">
        <v>82</v>
      </c>
      <c r="Q938" s="0" t="str">
        <f aca="false">IF($C938="Control",$P938,"")</f>
        <v/>
      </c>
      <c r="R938" s="3" t="n">
        <f aca="false">IF($C938="Treatment",$P938,"")</f>
        <v>82</v>
      </c>
      <c r="S938" s="0" t="str">
        <f aca="false">IF(AND($C938="Control",$K938=1),$L938,"")</f>
        <v/>
      </c>
      <c r="T938" s="0" t="str">
        <f aca="false">IF(AND($C938="Treatment",$K938=1),$L938,"")</f>
        <v/>
      </c>
    </row>
    <row r="939" customFormat="false" ht="15" hidden="false" customHeight="false" outlineLevel="0" collapsed="false">
      <c r="A939" s="0" t="s">
        <v>970</v>
      </c>
      <c r="B939" s="2" t="n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P939" s="0" t="n">
        <v>72.1</v>
      </c>
      <c r="Q939" s="0" t="str">
        <f aca="false">IF($C939="Control",$P939,"")</f>
        <v/>
      </c>
      <c r="R939" s="3" t="n">
        <f aca="false">IF($C939="Treatment",$P939,"")</f>
        <v>72.1</v>
      </c>
      <c r="S939" s="0" t="str">
        <f aca="false">IF(AND($C939="Control",$K939=1),$L939,"")</f>
        <v/>
      </c>
      <c r="T939" s="0" t="str">
        <f aca="false">IF(AND($C939="Treatment",$K939=1),$L939,"")</f>
        <v/>
      </c>
    </row>
    <row r="940" customFormat="false" ht="15" hidden="false" customHeight="false" outlineLevel="0" collapsed="false">
      <c r="A940" s="0" t="s">
        <v>971</v>
      </c>
      <c r="B940" s="2" t="n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0" t="n">
        <v>1</v>
      </c>
      <c r="I940" s="0" t="n">
        <v>1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P940" s="0" t="n">
        <v>68.3</v>
      </c>
      <c r="Q940" s="0" t="str">
        <f aca="false">IF($C940="Control",$P940,"")</f>
        <v/>
      </c>
      <c r="R940" s="3" t="n">
        <f aca="false">IF($C940="Treatment",$P940,"")</f>
        <v>68.3</v>
      </c>
      <c r="S940" s="0" t="str">
        <f aca="false">IF(AND($C940="Control",$K940=1),$L940,"")</f>
        <v/>
      </c>
      <c r="T940" s="0" t="str">
        <f aca="false">IF(AND($C940="Treatment",$K940=1),$L940,"")</f>
        <v/>
      </c>
    </row>
    <row r="941" customFormat="false" ht="15" hidden="false" customHeight="false" outlineLevel="0" collapsed="false">
      <c r="A941" s="0" t="s">
        <v>972</v>
      </c>
      <c r="B941" s="2" t="n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P941" s="0" t="n">
        <v>100</v>
      </c>
      <c r="Q941" s="0" t="str">
        <f aca="false">IF($C941="Control",$P941,"")</f>
        <v/>
      </c>
      <c r="R941" s="3" t="n">
        <f aca="false">IF($C941="Treatment",$P941,"")</f>
        <v>100</v>
      </c>
      <c r="S941" s="0" t="str">
        <f aca="false">IF(AND($C941="Control",$K941=1),$L941,"")</f>
        <v/>
      </c>
      <c r="T941" s="0" t="str">
        <f aca="false">IF(AND($C941="Treatment",$K941=1),$L941,"")</f>
        <v/>
      </c>
    </row>
    <row r="942" customFormat="false" ht="15" hidden="false" customHeight="false" outlineLevel="0" collapsed="false">
      <c r="A942" s="0" t="s">
        <v>973</v>
      </c>
      <c r="B942" s="2" t="n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0" t="n">
        <v>1</v>
      </c>
      <c r="I942" s="0" t="n">
        <v>1</v>
      </c>
      <c r="J942" s="0" t="n">
        <v>1</v>
      </c>
      <c r="K942" s="0" t="n">
        <v>0</v>
      </c>
      <c r="L942" s="0" t="n">
        <v>0</v>
      </c>
      <c r="M942" s="0" t="n">
        <v>2</v>
      </c>
      <c r="N942" s="0" t="n">
        <v>0</v>
      </c>
      <c r="P942" s="0" t="n">
        <v>76.5</v>
      </c>
      <c r="Q942" s="0" t="str">
        <f aca="false">IF($C942="Control",$P942,"")</f>
        <v/>
      </c>
      <c r="R942" s="3" t="n">
        <f aca="false">IF($C942="Treatment",$P942,"")</f>
        <v>76.5</v>
      </c>
      <c r="S942" s="0" t="str">
        <f aca="false">IF(AND($C942="Control",$K942=1),$L942,"")</f>
        <v/>
      </c>
      <c r="T942" s="0" t="str">
        <f aca="false">IF(AND($C942="Treatment",$K942=1),$L942,"")</f>
        <v/>
      </c>
    </row>
    <row r="943" customFormat="false" ht="15" hidden="false" customHeight="false" outlineLevel="0" collapsed="false">
      <c r="A943" s="0" t="s">
        <v>974</v>
      </c>
      <c r="B943" s="2" t="n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0" t="n">
        <v>1</v>
      </c>
      <c r="I943" s="0" t="n">
        <v>1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P943" s="0" t="n">
        <v>62</v>
      </c>
      <c r="Q943" s="0" t="str">
        <f aca="false">IF($C943="Control",$P943,"")</f>
        <v/>
      </c>
      <c r="R943" s="3" t="n">
        <f aca="false">IF($C943="Treatment",$P943,"")</f>
        <v>62</v>
      </c>
      <c r="S943" s="0" t="str">
        <f aca="false">IF(AND($C943="Control",$K943=1),$L943,"")</f>
        <v/>
      </c>
      <c r="T943" s="0" t="str">
        <f aca="false">IF(AND($C943="Treatment",$K943=1),$L943,"")</f>
        <v/>
      </c>
    </row>
    <row r="944" customFormat="false" ht="15" hidden="false" customHeight="false" outlineLevel="0" collapsed="false">
      <c r="A944" s="0" t="s">
        <v>975</v>
      </c>
      <c r="B944" s="2" t="n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0" t="n">
        <v>1</v>
      </c>
      <c r="I944" s="0" t="n">
        <v>1</v>
      </c>
      <c r="J944" s="0" t="n">
        <v>1</v>
      </c>
      <c r="K944" s="0" t="n">
        <v>1</v>
      </c>
      <c r="L944" s="0" t="n">
        <v>324.68</v>
      </c>
      <c r="M944" s="0" t="n">
        <v>1</v>
      </c>
      <c r="N944" s="0" t="n">
        <v>0</v>
      </c>
      <c r="O944" s="0" t="n">
        <v>7</v>
      </c>
      <c r="P944" s="0" t="n">
        <v>50.1</v>
      </c>
      <c r="Q944" s="0" t="str">
        <f aca="false">IF($C944="Control",$P944,"")</f>
        <v/>
      </c>
      <c r="R944" s="3" t="n">
        <f aca="false">IF($C944="Treatment",$P944,"")</f>
        <v>50.1</v>
      </c>
      <c r="S944" s="0" t="str">
        <f aca="false">IF(AND($C944="Control",$K944=1),$L944,"")</f>
        <v/>
      </c>
      <c r="T944" s="3" t="n">
        <f aca="false">IF(AND($C944="Treatment",$K944=1),$L944,"")</f>
        <v>324.68</v>
      </c>
    </row>
    <row r="945" customFormat="false" ht="15" hidden="false" customHeight="false" outlineLevel="0" collapsed="false">
      <c r="A945" s="0" t="s">
        <v>976</v>
      </c>
      <c r="B945" s="2" t="n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0" t="n">
        <v>1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P945" s="0" t="n">
        <v>62.1</v>
      </c>
      <c r="Q945" s="0" t="str">
        <f aca="false">IF($C945="Control",$P945,"")</f>
        <v/>
      </c>
      <c r="R945" s="3" t="n">
        <f aca="false">IF($C945="Treatment",$P945,"")</f>
        <v>62.1</v>
      </c>
      <c r="S945" s="0" t="str">
        <f aca="false">IF(AND($C945="Control",$K945=1),$L945,"")</f>
        <v/>
      </c>
      <c r="T945" s="0" t="str">
        <f aca="false">IF(AND($C945="Treatment",$K945=1),$L945,"")</f>
        <v/>
      </c>
    </row>
    <row r="946" customFormat="false" ht="15" hidden="false" customHeight="false" outlineLevel="0" collapsed="false">
      <c r="A946" s="0" t="s">
        <v>977</v>
      </c>
      <c r="B946" s="2" t="n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0" t="n">
        <v>1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P946" s="0" t="n">
        <v>49.7</v>
      </c>
      <c r="Q946" s="0" t="str">
        <f aca="false">IF($C946="Control",$P946,"")</f>
        <v/>
      </c>
      <c r="R946" s="3" t="n">
        <f aca="false">IF($C946="Treatment",$P946,"")</f>
        <v>49.7</v>
      </c>
      <c r="S946" s="0" t="str">
        <f aca="false">IF(AND($C946="Control",$K946=1),$L946,"")</f>
        <v/>
      </c>
      <c r="T946" s="0" t="str">
        <f aca="false">IF(AND($C946="Treatment",$K946=1),$L946,"")</f>
        <v/>
      </c>
    </row>
    <row r="947" customFormat="false" ht="15" hidden="false" customHeight="false" outlineLevel="0" collapsed="false">
      <c r="A947" s="0" t="s">
        <v>978</v>
      </c>
      <c r="B947" s="2" t="n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0" t="n">
        <v>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3</v>
      </c>
      <c r="N947" s="0" t="n">
        <v>0</v>
      </c>
      <c r="P947" s="0" t="n">
        <v>71.1</v>
      </c>
      <c r="Q947" s="0" t="str">
        <f aca="false">IF($C947="Control",$P947,"")</f>
        <v/>
      </c>
      <c r="R947" s="3" t="n">
        <f aca="false">IF($C947="Treatment",$P947,"")</f>
        <v>71.1</v>
      </c>
      <c r="S947" s="0" t="str">
        <f aca="false">IF(AND($C947="Control",$K947=1),$L947,"")</f>
        <v/>
      </c>
      <c r="T947" s="0" t="str">
        <f aca="false">IF(AND($C947="Treatment",$K947=1),$L947,"")</f>
        <v/>
      </c>
    </row>
    <row r="948" customFormat="false" ht="15" hidden="false" customHeight="false" outlineLevel="0" collapsed="false">
      <c r="A948" s="0" t="s">
        <v>979</v>
      </c>
      <c r="B948" s="2" t="n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P948" s="0" t="n">
        <v>70.8</v>
      </c>
      <c r="Q948" s="0" t="str">
        <f aca="false">IF($C948="Control",$P948,"")</f>
        <v/>
      </c>
      <c r="R948" s="3" t="n">
        <f aca="false">IF($C948="Treatment",$P948,"")</f>
        <v>70.8</v>
      </c>
      <c r="S948" s="0" t="str">
        <f aca="false">IF(AND($C948="Control",$K948=1),$L948,"")</f>
        <v/>
      </c>
      <c r="T948" s="0" t="str">
        <f aca="false">IF(AND($C948="Treatment",$K948=1),$L948,"")</f>
        <v/>
      </c>
    </row>
    <row r="949" customFormat="false" ht="15" hidden="false" customHeight="false" outlineLevel="0" collapsed="false">
      <c r="A949" s="0" t="s">
        <v>980</v>
      </c>
      <c r="B949" s="2" t="n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0" t="n">
        <v>1</v>
      </c>
      <c r="I949" s="0" t="n">
        <v>1</v>
      </c>
      <c r="J949" s="0" t="n">
        <v>1</v>
      </c>
      <c r="K949" s="0" t="n">
        <v>1</v>
      </c>
      <c r="L949" s="0" t="n">
        <v>301.98</v>
      </c>
      <c r="M949" s="0" t="n">
        <v>0</v>
      </c>
      <c r="N949" s="0" t="n">
        <v>0</v>
      </c>
      <c r="O949" s="0" t="n">
        <v>10</v>
      </c>
      <c r="P949" s="0" t="n">
        <v>52.2</v>
      </c>
      <c r="Q949" s="0" t="str">
        <f aca="false">IF($C949="Control",$P949,"")</f>
        <v/>
      </c>
      <c r="R949" s="3" t="n">
        <f aca="false">IF($C949="Treatment",$P949,"")</f>
        <v>52.2</v>
      </c>
      <c r="S949" s="0" t="str">
        <f aca="false">IF(AND($C949="Control",$K949=1),$L949,"")</f>
        <v/>
      </c>
      <c r="T949" s="3" t="n">
        <f aca="false">IF(AND($C949="Treatment",$K949=1),$L949,"")</f>
        <v>301.98</v>
      </c>
    </row>
    <row r="950" customFormat="false" ht="15" hidden="false" customHeight="false" outlineLevel="0" collapsed="false">
      <c r="A950" s="0" t="s">
        <v>981</v>
      </c>
      <c r="B950" s="2" t="n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0" t="n">
        <v>1</v>
      </c>
      <c r="I950" s="0" t="n">
        <v>1</v>
      </c>
      <c r="J950" s="0" t="n">
        <v>1</v>
      </c>
      <c r="K950" s="0" t="n">
        <v>0</v>
      </c>
      <c r="L950" s="0" t="n">
        <v>0</v>
      </c>
      <c r="M950" s="0" t="n">
        <v>0</v>
      </c>
      <c r="N950" s="0" t="n">
        <v>0</v>
      </c>
      <c r="P950" s="0" t="n">
        <v>73</v>
      </c>
      <c r="Q950" s="0" t="str">
        <f aca="false">IF($C950="Control",$P950,"")</f>
        <v/>
      </c>
      <c r="R950" s="3" t="n">
        <f aca="false">IF($C950="Treatment",$P950,"")</f>
        <v>73</v>
      </c>
      <c r="S950" s="0" t="str">
        <f aca="false">IF(AND($C950="Control",$K950=1),$L950,"")</f>
        <v/>
      </c>
      <c r="T950" s="0" t="str">
        <f aca="false">IF(AND($C950="Treatment",$K950=1),$L950,"")</f>
        <v/>
      </c>
    </row>
    <row r="951" customFormat="false" ht="15" hidden="false" customHeight="false" outlineLevel="0" collapsed="false">
      <c r="A951" s="0" t="s">
        <v>982</v>
      </c>
      <c r="B951" s="2" t="n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P951" s="0" t="n">
        <v>78.2</v>
      </c>
      <c r="Q951" s="0" t="str">
        <f aca="false">IF($C951="Control",$P951,"")</f>
        <v/>
      </c>
      <c r="R951" s="3" t="n">
        <f aca="false">IF($C951="Treatment",$P951,"")</f>
        <v>78.2</v>
      </c>
      <c r="S951" s="0" t="str">
        <f aca="false">IF(AND($C951="Control",$K951=1),$L951,"")</f>
        <v/>
      </c>
      <c r="T951" s="0" t="str">
        <f aca="false">IF(AND($C951="Treatment",$K951=1),$L951,"")</f>
        <v/>
      </c>
    </row>
    <row r="952" customFormat="false" ht="15" hidden="false" customHeight="false" outlineLevel="0" collapsed="false">
      <c r="A952" s="0" t="s">
        <v>983</v>
      </c>
      <c r="B952" s="2" t="n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0" t="n">
        <v>1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P952" s="0" t="n">
        <v>68.8</v>
      </c>
      <c r="Q952" s="0" t="str">
        <f aca="false">IF($C952="Control",$P952,"")</f>
        <v/>
      </c>
      <c r="R952" s="3" t="n">
        <f aca="false">IF($C952="Treatment",$P952,"")</f>
        <v>68.8</v>
      </c>
      <c r="S952" s="0" t="str">
        <f aca="false">IF(AND($C952="Control",$K952=1),$L952,"")</f>
        <v/>
      </c>
      <c r="T952" s="0" t="str">
        <f aca="false">IF(AND($C952="Treatment",$K952=1),$L952,"")</f>
        <v/>
      </c>
    </row>
    <row r="953" customFormat="false" ht="15" hidden="false" customHeight="false" outlineLevel="0" collapsed="false">
      <c r="A953" s="0" t="s">
        <v>984</v>
      </c>
      <c r="B953" s="2" t="n">
        <v>45760</v>
      </c>
      <c r="C953" s="3" t="s">
        <v>723</v>
      </c>
      <c r="D953" s="3" t="s">
        <v>23</v>
      </c>
      <c r="E953" s="3" t="s">
        <v>24</v>
      </c>
      <c r="F953" s="3" t="s">
        <v>1470</v>
      </c>
      <c r="G953" s="3" t="s">
        <v>30</v>
      </c>
      <c r="H953" s="0" t="n">
        <v>1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P953" s="0" t="n">
        <v>57.1</v>
      </c>
      <c r="Q953" s="0" t="str">
        <f aca="false">IF($C953="Control",$P953,"")</f>
        <v/>
      </c>
      <c r="R953" s="3" t="n">
        <f aca="false">IF($C953="Treatment",$P953,"")</f>
        <v>57.1</v>
      </c>
      <c r="S953" s="0" t="str">
        <f aca="false">IF(AND($C953="Control",$K953=1),$L953,"")</f>
        <v/>
      </c>
      <c r="T953" s="0" t="str">
        <f aca="false">IF(AND($C953="Treatment",$K953=1),$L953,"")</f>
        <v/>
      </c>
    </row>
    <row r="954" customFormat="false" ht="15" hidden="false" customHeight="false" outlineLevel="0" collapsed="false">
      <c r="A954" s="0" t="s">
        <v>985</v>
      </c>
      <c r="B954" s="2" t="n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0</v>
      </c>
      <c r="P954" s="0" t="n">
        <v>74.6</v>
      </c>
      <c r="Q954" s="0" t="str">
        <f aca="false">IF($C954="Control",$P954,"")</f>
        <v/>
      </c>
      <c r="R954" s="3" t="n">
        <f aca="false">IF($C954="Treatment",$P954,"")</f>
        <v>74.6</v>
      </c>
      <c r="S954" s="0" t="str">
        <f aca="false">IF(AND($C954="Control",$K954=1),$L954,"")</f>
        <v/>
      </c>
      <c r="T954" s="0" t="str">
        <f aca="false">IF(AND($C954="Treatment",$K954=1),$L954,"")</f>
        <v/>
      </c>
    </row>
    <row r="955" customFormat="false" ht="15" hidden="false" customHeight="false" outlineLevel="0" collapsed="false">
      <c r="A955" s="0" t="s">
        <v>986</v>
      </c>
      <c r="B955" s="2" t="n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0" t="n">
        <v>1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0</v>
      </c>
      <c r="P955" s="0" t="n">
        <v>64.1</v>
      </c>
      <c r="Q955" s="0" t="str">
        <f aca="false">IF($C955="Control",$P955,"")</f>
        <v/>
      </c>
      <c r="R955" s="3" t="n">
        <f aca="false">IF($C955="Treatment",$P955,"")</f>
        <v>64.1</v>
      </c>
      <c r="S955" s="0" t="str">
        <f aca="false">IF(AND($C955="Control",$K955=1),$L955,"")</f>
        <v/>
      </c>
      <c r="T955" s="0" t="str">
        <f aca="false">IF(AND($C955="Treatment",$K955=1),$L955,"")</f>
        <v/>
      </c>
    </row>
    <row r="956" customFormat="false" ht="15" hidden="false" customHeight="false" outlineLevel="0" collapsed="false">
      <c r="A956" s="0" t="s">
        <v>987</v>
      </c>
      <c r="B956" s="2" t="n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0" t="n">
        <v>1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P956" s="0" t="n">
        <v>67.3</v>
      </c>
      <c r="Q956" s="0" t="str">
        <f aca="false">IF($C956="Control",$P956,"")</f>
        <v/>
      </c>
      <c r="R956" s="3" t="n">
        <f aca="false">IF($C956="Treatment",$P956,"")</f>
        <v>67.3</v>
      </c>
      <c r="S956" s="0" t="str">
        <f aca="false">IF(AND($C956="Control",$K956=1),$L956,"")</f>
        <v/>
      </c>
      <c r="T956" s="0" t="str">
        <f aca="false">IF(AND($C956="Treatment",$K956=1),$L956,"")</f>
        <v/>
      </c>
    </row>
    <row r="957" customFormat="false" ht="15" hidden="false" customHeight="false" outlineLevel="0" collapsed="false">
      <c r="A957" s="0" t="s">
        <v>988</v>
      </c>
      <c r="B957" s="2" t="n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2</v>
      </c>
      <c r="N957" s="0" t="n">
        <v>0</v>
      </c>
      <c r="P957" s="0" t="n">
        <v>41</v>
      </c>
      <c r="Q957" s="0" t="str">
        <f aca="false">IF($C957="Control",$P957,"")</f>
        <v/>
      </c>
      <c r="R957" s="3" t="n">
        <f aca="false">IF($C957="Treatment",$P957,"")</f>
        <v>41</v>
      </c>
      <c r="S957" s="0" t="str">
        <f aca="false">IF(AND($C957="Control",$K957=1),$L957,"")</f>
        <v/>
      </c>
      <c r="T957" s="0" t="str">
        <f aca="false">IF(AND($C957="Treatment",$K957=1),$L957,"")</f>
        <v/>
      </c>
    </row>
    <row r="958" customFormat="false" ht="15" hidden="false" customHeight="false" outlineLevel="0" collapsed="false">
      <c r="A958" s="0" t="s">
        <v>989</v>
      </c>
      <c r="B958" s="2" t="n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P958" s="0" t="n">
        <v>48.1</v>
      </c>
      <c r="Q958" s="0" t="str">
        <f aca="false">IF($C958="Control",$P958,"")</f>
        <v/>
      </c>
      <c r="R958" s="3" t="n">
        <f aca="false">IF($C958="Treatment",$P958,"")</f>
        <v>48.1</v>
      </c>
      <c r="S958" s="0" t="str">
        <f aca="false">IF(AND($C958="Control",$K958=1),$L958,"")</f>
        <v/>
      </c>
      <c r="T958" s="0" t="str">
        <f aca="false">IF(AND($C958="Treatment",$K958=1),$L958,"")</f>
        <v/>
      </c>
    </row>
    <row r="959" customFormat="false" ht="15" hidden="false" customHeight="false" outlineLevel="0" collapsed="false">
      <c r="A959" s="0" t="s">
        <v>990</v>
      </c>
      <c r="B959" s="2" t="n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0</v>
      </c>
      <c r="P959" s="0" t="n">
        <v>60.8</v>
      </c>
      <c r="Q959" s="0" t="str">
        <f aca="false">IF($C959="Control",$P959,"")</f>
        <v/>
      </c>
      <c r="R959" s="3" t="n">
        <f aca="false">IF($C959="Treatment",$P959,"")</f>
        <v>60.8</v>
      </c>
      <c r="S959" s="0" t="str">
        <f aca="false">IF(AND($C959="Control",$K959=1),$L959,"")</f>
        <v/>
      </c>
      <c r="T959" s="0" t="str">
        <f aca="false">IF(AND($C959="Treatment",$K959=1),$L959,"")</f>
        <v/>
      </c>
    </row>
    <row r="960" customFormat="false" ht="15" hidden="false" customHeight="false" outlineLevel="0" collapsed="false">
      <c r="A960" s="0" t="s">
        <v>991</v>
      </c>
      <c r="B960" s="2" t="n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0" t="n">
        <v>1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P960" s="0" t="n">
        <v>63.1</v>
      </c>
      <c r="Q960" s="0" t="str">
        <f aca="false">IF($C960="Control",$P960,"")</f>
        <v/>
      </c>
      <c r="R960" s="3" t="n">
        <f aca="false">IF($C960="Treatment",$P960,"")</f>
        <v>63.1</v>
      </c>
      <c r="S960" s="0" t="str">
        <f aca="false">IF(AND($C960="Control",$K960=1),$L960,"")</f>
        <v/>
      </c>
      <c r="T960" s="0" t="str">
        <f aca="false">IF(AND($C960="Treatment",$K960=1),$L960,"")</f>
        <v/>
      </c>
    </row>
    <row r="961" customFormat="false" ht="15" hidden="false" customHeight="false" outlineLevel="0" collapsed="false">
      <c r="A961" s="0" t="s">
        <v>992</v>
      </c>
      <c r="B961" s="2" t="n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0" t="n">
        <v>1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2</v>
      </c>
      <c r="N961" s="0" t="n">
        <v>0</v>
      </c>
      <c r="P961" s="0" t="n">
        <v>49.7</v>
      </c>
      <c r="Q961" s="0" t="str">
        <f aca="false">IF($C961="Control",$P961,"")</f>
        <v/>
      </c>
      <c r="R961" s="3" t="n">
        <f aca="false">IF($C961="Treatment",$P961,"")</f>
        <v>49.7</v>
      </c>
      <c r="S961" s="0" t="str">
        <f aca="false">IF(AND($C961="Control",$K961=1),$L961,"")</f>
        <v/>
      </c>
      <c r="T961" s="0" t="str">
        <f aca="false">IF(AND($C961="Treatment",$K961=1),$L961,"")</f>
        <v/>
      </c>
    </row>
    <row r="962" customFormat="false" ht="15" hidden="false" customHeight="false" outlineLevel="0" collapsed="false">
      <c r="A962" s="0" t="s">
        <v>993</v>
      </c>
      <c r="B962" s="2" t="n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0" t="n">
        <v>1</v>
      </c>
      <c r="I962" s="0" t="n">
        <v>1</v>
      </c>
      <c r="J962" s="0" t="n">
        <v>1</v>
      </c>
      <c r="K962" s="0" t="n">
        <v>0</v>
      </c>
      <c r="L962" s="0" t="n">
        <v>0</v>
      </c>
      <c r="M962" s="0" t="n">
        <v>1</v>
      </c>
      <c r="N962" s="0" t="n">
        <v>0</v>
      </c>
      <c r="P962" s="0" t="n">
        <v>83.4</v>
      </c>
      <c r="Q962" s="0" t="str">
        <f aca="false">IF($C962="Control",$P962,"")</f>
        <v/>
      </c>
      <c r="R962" s="3" t="n">
        <f aca="false">IF($C962="Treatment",$P962,"")</f>
        <v>83.4</v>
      </c>
      <c r="S962" s="0" t="str">
        <f aca="false">IF(AND($C962="Control",$K962=1),$L962,"")</f>
        <v/>
      </c>
      <c r="T962" s="0" t="str">
        <f aca="false">IF(AND($C962="Treatment",$K962=1),$L962,"")</f>
        <v/>
      </c>
    </row>
    <row r="963" customFormat="false" ht="15" hidden="false" customHeight="false" outlineLevel="0" collapsed="false">
      <c r="A963" s="0" t="s">
        <v>994</v>
      </c>
      <c r="B963" s="2" t="n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0" t="n">
        <v>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P963" s="0" t="n">
        <v>75.9</v>
      </c>
      <c r="Q963" s="0" t="str">
        <f aca="false">IF($C963="Control",$P963,"")</f>
        <v/>
      </c>
      <c r="R963" s="3" t="n">
        <f aca="false">IF($C963="Treatment",$P963,"")</f>
        <v>75.9</v>
      </c>
      <c r="S963" s="0" t="str">
        <f aca="false">IF(AND($C963="Control",$K963=1),$L963,"")</f>
        <v/>
      </c>
      <c r="T963" s="0" t="str">
        <f aca="false">IF(AND($C963="Treatment",$K963=1),$L963,"")</f>
        <v/>
      </c>
    </row>
    <row r="964" customFormat="false" ht="15" hidden="false" customHeight="false" outlineLevel="0" collapsed="false">
      <c r="A964" s="0" t="s">
        <v>995</v>
      </c>
      <c r="B964" s="2" t="n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0</v>
      </c>
      <c r="P964" s="0" t="n">
        <v>71.8</v>
      </c>
      <c r="Q964" s="0" t="str">
        <f aca="false">IF($C964="Control",$P964,"")</f>
        <v/>
      </c>
      <c r="R964" s="3" t="n">
        <f aca="false">IF($C964="Treatment",$P964,"")</f>
        <v>71.8</v>
      </c>
      <c r="S964" s="0" t="str">
        <f aca="false">IF(AND($C964="Control",$K964=1),$L964,"")</f>
        <v/>
      </c>
      <c r="T964" s="0" t="str">
        <f aca="false">IF(AND($C964="Treatment",$K964=1),$L964,"")</f>
        <v/>
      </c>
    </row>
    <row r="965" customFormat="false" ht="15" hidden="false" customHeight="false" outlineLevel="0" collapsed="false">
      <c r="A965" s="0" t="s">
        <v>996</v>
      </c>
      <c r="B965" s="2" t="n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P965" s="0" t="n">
        <v>37.9</v>
      </c>
      <c r="Q965" s="0" t="str">
        <f aca="false">IF($C965="Control",$P965,"")</f>
        <v/>
      </c>
      <c r="R965" s="3" t="n">
        <f aca="false">IF($C965="Treatment",$P965,"")</f>
        <v>37.9</v>
      </c>
      <c r="S965" s="0" t="str">
        <f aca="false">IF(AND($C965="Control",$K965=1),$L965,"")</f>
        <v/>
      </c>
      <c r="T965" s="0" t="str">
        <f aca="false">IF(AND($C965="Treatment",$K965=1),$L965,"")</f>
        <v/>
      </c>
    </row>
    <row r="966" customFormat="false" ht="15" hidden="false" customHeight="false" outlineLevel="0" collapsed="false">
      <c r="A966" s="0" t="s">
        <v>997</v>
      </c>
      <c r="B966" s="2" t="n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0" t="n">
        <v>1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P966" s="0" t="n">
        <v>59.8</v>
      </c>
      <c r="Q966" s="0" t="str">
        <f aca="false">IF($C966="Control",$P966,"")</f>
        <v/>
      </c>
      <c r="R966" s="3" t="n">
        <f aca="false">IF($C966="Treatment",$P966,"")</f>
        <v>59.8</v>
      </c>
      <c r="S966" s="0" t="str">
        <f aca="false">IF(AND($C966="Control",$K966=1),$L966,"")</f>
        <v/>
      </c>
      <c r="T966" s="0" t="str">
        <f aca="false">IF(AND($C966="Treatment",$K966=1),$L966,"")</f>
        <v/>
      </c>
    </row>
    <row r="967" customFormat="false" ht="15" hidden="false" customHeight="false" outlineLevel="0" collapsed="false">
      <c r="A967" s="0" t="s">
        <v>998</v>
      </c>
      <c r="B967" s="2" t="n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P967" s="0" t="n">
        <v>66.9</v>
      </c>
      <c r="Q967" s="0" t="str">
        <f aca="false">IF($C967="Control",$P967,"")</f>
        <v/>
      </c>
      <c r="R967" s="3" t="n">
        <f aca="false">IF($C967="Treatment",$P967,"")</f>
        <v>66.9</v>
      </c>
      <c r="S967" s="0" t="str">
        <f aca="false">IF(AND($C967="Control",$K967=1),$L967,"")</f>
        <v/>
      </c>
      <c r="T967" s="0" t="str">
        <f aca="false">IF(AND($C967="Treatment",$K967=1),$L967,"")</f>
        <v/>
      </c>
    </row>
    <row r="968" customFormat="false" ht="15" hidden="false" customHeight="false" outlineLevel="0" collapsed="false">
      <c r="A968" s="0" t="s">
        <v>999</v>
      </c>
      <c r="B968" s="2" t="n">
        <v>45707</v>
      </c>
      <c r="C968" s="3" t="s">
        <v>723</v>
      </c>
      <c r="D968" s="3" t="s">
        <v>32</v>
      </c>
      <c r="E968" s="3" t="s">
        <v>19</v>
      </c>
      <c r="F968" s="3" t="s">
        <v>1470</v>
      </c>
      <c r="G968" s="3" t="s">
        <v>26</v>
      </c>
      <c r="H968" s="0" t="n">
        <v>1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P968" s="0" t="n">
        <v>59</v>
      </c>
      <c r="Q968" s="0" t="str">
        <f aca="false">IF($C968="Control",$P968,"")</f>
        <v/>
      </c>
      <c r="R968" s="3" t="n">
        <f aca="false">IF($C968="Treatment",$P968,"")</f>
        <v>59</v>
      </c>
      <c r="S968" s="0" t="str">
        <f aca="false">IF(AND($C968="Control",$K968=1),$L968,"")</f>
        <v/>
      </c>
      <c r="T968" s="0" t="str">
        <f aca="false">IF(AND($C968="Treatment",$K968=1),$L968,"")</f>
        <v/>
      </c>
    </row>
    <row r="969" customFormat="false" ht="15" hidden="false" customHeight="false" outlineLevel="0" collapsed="false">
      <c r="A969" s="0" t="s">
        <v>1000</v>
      </c>
      <c r="B969" s="2" t="n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0" t="n">
        <v>1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P969" s="0" t="n">
        <v>80.1</v>
      </c>
      <c r="Q969" s="0" t="str">
        <f aca="false">IF($C969="Control",$P969,"")</f>
        <v/>
      </c>
      <c r="R969" s="3" t="n">
        <f aca="false">IF($C969="Treatment",$P969,"")</f>
        <v>80.1</v>
      </c>
      <c r="S969" s="0" t="str">
        <f aca="false">IF(AND($C969="Control",$K969=1),$L969,"")</f>
        <v/>
      </c>
      <c r="T969" s="0" t="str">
        <f aca="false">IF(AND($C969="Treatment",$K969=1),$L969,"")</f>
        <v/>
      </c>
    </row>
    <row r="970" customFormat="false" ht="15" hidden="false" customHeight="false" outlineLevel="0" collapsed="false">
      <c r="A970" s="0" t="s">
        <v>1001</v>
      </c>
      <c r="B970" s="2" t="n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P970" s="0" t="n">
        <v>64.3</v>
      </c>
      <c r="Q970" s="0" t="str">
        <f aca="false">IF($C970="Control",$P970,"")</f>
        <v/>
      </c>
      <c r="R970" s="3" t="n">
        <f aca="false">IF($C970="Treatment",$P970,"")</f>
        <v>64.3</v>
      </c>
      <c r="S970" s="0" t="str">
        <f aca="false">IF(AND($C970="Control",$K970=1),$L970,"")</f>
        <v/>
      </c>
      <c r="T970" s="0" t="str">
        <f aca="false">IF(AND($C970="Treatment",$K970=1),$L970,"")</f>
        <v/>
      </c>
    </row>
    <row r="971" customFormat="false" ht="15" hidden="false" customHeight="false" outlineLevel="0" collapsed="false">
      <c r="A971" s="0" t="s">
        <v>1002</v>
      </c>
      <c r="B971" s="2" t="n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0</v>
      </c>
      <c r="P971" s="0" t="n">
        <v>57.4</v>
      </c>
      <c r="Q971" s="0" t="str">
        <f aca="false">IF($C971="Control",$P971,"")</f>
        <v/>
      </c>
      <c r="R971" s="3" t="n">
        <f aca="false">IF($C971="Treatment",$P971,"")</f>
        <v>57.4</v>
      </c>
      <c r="S971" s="0" t="str">
        <f aca="false">IF(AND($C971="Control",$K971=1),$L971,"")</f>
        <v/>
      </c>
      <c r="T971" s="0" t="str">
        <f aca="false">IF(AND($C971="Treatment",$K971=1),$L971,"")</f>
        <v/>
      </c>
    </row>
    <row r="972" customFormat="false" ht="15" hidden="false" customHeight="false" outlineLevel="0" collapsed="false">
      <c r="A972" s="0" t="s">
        <v>1003</v>
      </c>
      <c r="B972" s="2" t="n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0" t="n">
        <v>1</v>
      </c>
      <c r="I972" s="0" t="n">
        <v>1</v>
      </c>
      <c r="J972" s="0" t="n">
        <v>1</v>
      </c>
      <c r="K972" s="0" t="n">
        <v>0</v>
      </c>
      <c r="L972" s="0" t="n">
        <v>0</v>
      </c>
      <c r="M972" s="0" t="n">
        <v>0</v>
      </c>
      <c r="N972" s="0" t="n">
        <v>0</v>
      </c>
      <c r="P972" s="0" t="n">
        <v>83.6</v>
      </c>
      <c r="Q972" s="0" t="str">
        <f aca="false">IF($C972="Control",$P972,"")</f>
        <v/>
      </c>
      <c r="R972" s="3" t="n">
        <f aca="false">IF($C972="Treatment",$P972,"")</f>
        <v>83.6</v>
      </c>
      <c r="S972" s="0" t="str">
        <f aca="false">IF(AND($C972="Control",$K972=1),$L972,"")</f>
        <v/>
      </c>
      <c r="T972" s="0" t="str">
        <f aca="false">IF(AND($C972="Treatment",$K972=1),$L972,"")</f>
        <v/>
      </c>
    </row>
    <row r="973" customFormat="false" ht="15" hidden="false" customHeight="false" outlineLevel="0" collapsed="false">
      <c r="A973" s="0" t="s">
        <v>1004</v>
      </c>
      <c r="B973" s="2" t="n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P973" s="0" t="n">
        <v>45.8</v>
      </c>
      <c r="Q973" s="0" t="str">
        <f aca="false">IF($C973="Control",$P973,"")</f>
        <v/>
      </c>
      <c r="R973" s="3" t="n">
        <f aca="false">IF($C973="Treatment",$P973,"")</f>
        <v>45.8</v>
      </c>
      <c r="S973" s="0" t="str">
        <f aca="false">IF(AND($C973="Control",$K973=1),$L973,"")</f>
        <v/>
      </c>
      <c r="T973" s="0" t="str">
        <f aca="false">IF(AND($C973="Treatment",$K973=1),$L973,"")</f>
        <v/>
      </c>
    </row>
    <row r="974" customFormat="false" ht="15" hidden="false" customHeight="false" outlineLevel="0" collapsed="false">
      <c r="A974" s="0" t="s">
        <v>1005</v>
      </c>
      <c r="B974" s="2" t="n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0" t="n">
        <v>1</v>
      </c>
      <c r="I974" s="0" t="n">
        <v>1</v>
      </c>
      <c r="J974" s="0" t="n">
        <v>1</v>
      </c>
      <c r="K974" s="0" t="n">
        <v>0</v>
      </c>
      <c r="L974" s="0" t="n">
        <v>0</v>
      </c>
      <c r="M974" s="0" t="n">
        <v>0</v>
      </c>
      <c r="N974" s="0" t="n">
        <v>0</v>
      </c>
      <c r="P974" s="0" t="n">
        <v>64.3</v>
      </c>
      <c r="Q974" s="0" t="str">
        <f aca="false">IF($C974="Control",$P974,"")</f>
        <v/>
      </c>
      <c r="R974" s="3" t="n">
        <f aca="false">IF($C974="Treatment",$P974,"")</f>
        <v>64.3</v>
      </c>
      <c r="S974" s="0" t="str">
        <f aca="false">IF(AND($C974="Control",$K974=1),$L974,"")</f>
        <v/>
      </c>
      <c r="T974" s="0" t="str">
        <f aca="false">IF(AND($C974="Treatment",$K974=1),$L974,"")</f>
        <v/>
      </c>
    </row>
    <row r="975" customFormat="false" ht="15" hidden="false" customHeight="false" outlineLevel="0" collapsed="false">
      <c r="A975" s="0" t="s">
        <v>1006</v>
      </c>
      <c r="B975" s="2" t="n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0" t="n">
        <v>1</v>
      </c>
      <c r="I975" s="0" t="n">
        <v>1</v>
      </c>
      <c r="J975" s="0" t="n">
        <v>1</v>
      </c>
      <c r="K975" s="0" t="n">
        <v>0</v>
      </c>
      <c r="L975" s="0" t="n">
        <v>0</v>
      </c>
      <c r="M975" s="0" t="n">
        <v>0</v>
      </c>
      <c r="N975" s="0" t="n">
        <v>0</v>
      </c>
      <c r="P975" s="0" t="n">
        <v>80.5</v>
      </c>
      <c r="Q975" s="0" t="str">
        <f aca="false">IF($C975="Control",$P975,"")</f>
        <v/>
      </c>
      <c r="R975" s="3" t="n">
        <f aca="false">IF($C975="Treatment",$P975,"")</f>
        <v>80.5</v>
      </c>
      <c r="S975" s="0" t="str">
        <f aca="false">IF(AND($C975="Control",$K975=1),$L975,"")</f>
        <v/>
      </c>
      <c r="T975" s="0" t="str">
        <f aca="false">IF(AND($C975="Treatment",$K975=1),$L975,"")</f>
        <v/>
      </c>
    </row>
    <row r="976" customFormat="false" ht="15" hidden="false" customHeight="false" outlineLevel="0" collapsed="false">
      <c r="A976" s="0" t="s">
        <v>1007</v>
      </c>
      <c r="B976" s="2" t="n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0" t="n">
        <v>1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P976" s="0" t="n">
        <v>46.3</v>
      </c>
      <c r="Q976" s="0" t="str">
        <f aca="false">IF($C976="Control",$P976,"")</f>
        <v/>
      </c>
      <c r="R976" s="3" t="n">
        <f aca="false">IF($C976="Treatment",$P976,"")</f>
        <v>46.3</v>
      </c>
      <c r="S976" s="0" t="str">
        <f aca="false">IF(AND($C976="Control",$K976=1),$L976,"")</f>
        <v/>
      </c>
      <c r="T976" s="0" t="str">
        <f aca="false">IF(AND($C976="Treatment",$K976=1),$L976,"")</f>
        <v/>
      </c>
    </row>
    <row r="977" customFormat="false" ht="15" hidden="false" customHeight="false" outlineLevel="0" collapsed="false">
      <c r="A977" s="0" t="s">
        <v>1008</v>
      </c>
      <c r="B977" s="2" t="n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0" t="n">
        <v>1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P977" s="0" t="n">
        <v>71.6</v>
      </c>
      <c r="Q977" s="0" t="str">
        <f aca="false">IF($C977="Control",$P977,"")</f>
        <v/>
      </c>
      <c r="R977" s="3" t="n">
        <f aca="false">IF($C977="Treatment",$P977,"")</f>
        <v>71.6</v>
      </c>
      <c r="S977" s="0" t="str">
        <f aca="false">IF(AND($C977="Control",$K977=1),$L977,"")</f>
        <v/>
      </c>
      <c r="T977" s="0" t="str">
        <f aca="false">IF(AND($C977="Treatment",$K977=1),$L977,"")</f>
        <v/>
      </c>
    </row>
    <row r="978" customFormat="false" ht="15" hidden="false" customHeight="false" outlineLevel="0" collapsed="false">
      <c r="A978" s="0" t="s">
        <v>1009</v>
      </c>
      <c r="B978" s="2" t="n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0" t="n">
        <v>1</v>
      </c>
      <c r="I978" s="0" t="n">
        <v>1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P978" s="0" t="n">
        <v>57.8</v>
      </c>
      <c r="Q978" s="0" t="str">
        <f aca="false">IF($C978="Control",$P978,"")</f>
        <v/>
      </c>
      <c r="R978" s="3" t="n">
        <f aca="false">IF($C978="Treatment",$P978,"")</f>
        <v>57.8</v>
      </c>
      <c r="S978" s="0" t="str">
        <f aca="false">IF(AND($C978="Control",$K978=1),$L978,"")</f>
        <v/>
      </c>
      <c r="T978" s="0" t="str">
        <f aca="false">IF(AND($C978="Treatment",$K978=1),$L978,"")</f>
        <v/>
      </c>
    </row>
    <row r="979" customFormat="false" ht="15" hidden="false" customHeight="false" outlineLevel="0" collapsed="false">
      <c r="A979" s="0" t="s">
        <v>1010</v>
      </c>
      <c r="B979" s="2" t="n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0" t="n">
        <v>1</v>
      </c>
      <c r="I979" s="0" t="n">
        <v>1</v>
      </c>
      <c r="J979" s="0" t="n">
        <v>1</v>
      </c>
      <c r="K979" s="0" t="n">
        <v>0</v>
      </c>
      <c r="L979" s="0" t="n">
        <v>0</v>
      </c>
      <c r="M979" s="0" t="n">
        <v>1</v>
      </c>
      <c r="N979" s="0" t="n">
        <v>0</v>
      </c>
      <c r="P979" s="0" t="n">
        <v>57.8</v>
      </c>
      <c r="Q979" s="0" t="str">
        <f aca="false">IF($C979="Control",$P979,"")</f>
        <v/>
      </c>
      <c r="R979" s="3" t="n">
        <f aca="false">IF($C979="Treatment",$P979,"")</f>
        <v>57.8</v>
      </c>
      <c r="S979" s="0" t="str">
        <f aca="false">IF(AND($C979="Control",$K979=1),$L979,"")</f>
        <v/>
      </c>
      <c r="T979" s="0" t="str">
        <f aca="false">IF(AND($C979="Treatment",$K979=1),$L979,"")</f>
        <v/>
      </c>
    </row>
    <row r="980" customFormat="false" ht="15" hidden="false" customHeight="false" outlineLevel="0" collapsed="false">
      <c r="A980" s="0" t="s">
        <v>1011</v>
      </c>
      <c r="B980" s="2" t="n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0" t="n">
        <v>1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P980" s="0" t="n">
        <v>38.3</v>
      </c>
      <c r="Q980" s="0" t="str">
        <f aca="false">IF($C980="Control",$P980,"")</f>
        <v/>
      </c>
      <c r="R980" s="3" t="n">
        <f aca="false">IF($C980="Treatment",$P980,"")</f>
        <v>38.3</v>
      </c>
      <c r="S980" s="0" t="str">
        <f aca="false">IF(AND($C980="Control",$K980=1),$L980,"")</f>
        <v/>
      </c>
      <c r="T980" s="0" t="str">
        <f aca="false">IF(AND($C980="Treatment",$K980=1),$L980,"")</f>
        <v/>
      </c>
    </row>
    <row r="981" customFormat="false" ht="15" hidden="false" customHeight="false" outlineLevel="0" collapsed="false">
      <c r="A981" s="0" t="s">
        <v>1012</v>
      </c>
      <c r="B981" s="2" t="n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0" t="n">
        <v>1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0</v>
      </c>
      <c r="P981" s="0" t="n">
        <v>66.1</v>
      </c>
      <c r="Q981" s="0" t="str">
        <f aca="false">IF($C981="Control",$P981,"")</f>
        <v/>
      </c>
      <c r="R981" s="3" t="n">
        <f aca="false">IF($C981="Treatment",$P981,"")</f>
        <v>66.1</v>
      </c>
      <c r="S981" s="0" t="str">
        <f aca="false">IF(AND($C981="Control",$K981=1),$L981,"")</f>
        <v/>
      </c>
      <c r="T981" s="0" t="str">
        <f aca="false">IF(AND($C981="Treatment",$K981=1),$L981,"")</f>
        <v/>
      </c>
    </row>
    <row r="982" customFormat="false" ht="15" hidden="false" customHeight="false" outlineLevel="0" collapsed="false">
      <c r="A982" s="0" t="s">
        <v>1013</v>
      </c>
      <c r="B982" s="2" t="n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0" t="n">
        <v>1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P982" s="0" t="n">
        <v>66.5</v>
      </c>
      <c r="Q982" s="0" t="str">
        <f aca="false">IF($C982="Control",$P982,"")</f>
        <v/>
      </c>
      <c r="R982" s="3" t="n">
        <f aca="false">IF($C982="Treatment",$P982,"")</f>
        <v>66.5</v>
      </c>
      <c r="S982" s="0" t="str">
        <f aca="false">IF(AND($C982="Control",$K982=1),$L982,"")</f>
        <v/>
      </c>
      <c r="T982" s="0" t="str">
        <f aca="false">IF(AND($C982="Treatment",$K982=1),$L982,"")</f>
        <v/>
      </c>
    </row>
    <row r="983" customFormat="false" ht="15" hidden="false" customHeight="false" outlineLevel="0" collapsed="false">
      <c r="A983" s="0" t="s">
        <v>1014</v>
      </c>
      <c r="B983" s="2" t="n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0" t="n">
        <v>1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3</v>
      </c>
      <c r="N983" s="0" t="n">
        <v>0</v>
      </c>
      <c r="P983" s="0" t="n">
        <v>51.5</v>
      </c>
      <c r="Q983" s="0" t="str">
        <f aca="false">IF($C983="Control",$P983,"")</f>
        <v/>
      </c>
      <c r="R983" s="3" t="n">
        <f aca="false">IF($C983="Treatment",$P983,"")</f>
        <v>51.5</v>
      </c>
      <c r="S983" s="0" t="str">
        <f aca="false">IF(AND($C983="Control",$K983=1),$L983,"")</f>
        <v/>
      </c>
      <c r="T983" s="0" t="str">
        <f aca="false">IF(AND($C983="Treatment",$K983=1),$L983,"")</f>
        <v/>
      </c>
    </row>
    <row r="984" customFormat="false" ht="15" hidden="false" customHeight="false" outlineLevel="0" collapsed="false">
      <c r="A984" s="0" t="s">
        <v>1015</v>
      </c>
      <c r="B984" s="2" t="n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0" t="n">
        <v>1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P984" s="0" t="n">
        <v>59.9</v>
      </c>
      <c r="Q984" s="0" t="str">
        <f aca="false">IF($C984="Control",$P984,"")</f>
        <v/>
      </c>
      <c r="R984" s="3" t="n">
        <f aca="false">IF($C984="Treatment",$P984,"")</f>
        <v>59.9</v>
      </c>
      <c r="S984" s="0" t="str">
        <f aca="false">IF(AND($C984="Control",$K984=1),$L984,"")</f>
        <v/>
      </c>
      <c r="T984" s="0" t="str">
        <f aca="false">IF(AND($C984="Treatment",$K984=1),$L984,"")</f>
        <v/>
      </c>
    </row>
    <row r="985" customFormat="false" ht="15" hidden="false" customHeight="false" outlineLevel="0" collapsed="false">
      <c r="A985" s="0" t="s">
        <v>1016</v>
      </c>
      <c r="B985" s="2" t="n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0" t="n">
        <v>1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P985" s="0" t="n">
        <v>58.8</v>
      </c>
      <c r="Q985" s="0" t="str">
        <f aca="false">IF($C985="Control",$P985,"")</f>
        <v/>
      </c>
      <c r="R985" s="3" t="n">
        <f aca="false">IF($C985="Treatment",$P985,"")</f>
        <v>58.8</v>
      </c>
      <c r="S985" s="0" t="str">
        <f aca="false">IF(AND($C985="Control",$K985=1),$L985,"")</f>
        <v/>
      </c>
      <c r="T985" s="0" t="str">
        <f aca="false">IF(AND($C985="Treatment",$K985=1),$L985,"")</f>
        <v/>
      </c>
    </row>
    <row r="986" customFormat="false" ht="15" hidden="false" customHeight="false" outlineLevel="0" collapsed="false">
      <c r="A986" s="0" t="s">
        <v>1017</v>
      </c>
      <c r="B986" s="2" t="n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0" t="n">
        <v>1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P986" s="0" t="n">
        <v>69.6</v>
      </c>
      <c r="Q986" s="0" t="str">
        <f aca="false">IF($C986="Control",$P986,"")</f>
        <v/>
      </c>
      <c r="R986" s="3" t="n">
        <f aca="false">IF($C986="Treatment",$P986,"")</f>
        <v>69.6</v>
      </c>
      <c r="S986" s="0" t="str">
        <f aca="false">IF(AND($C986="Control",$K986=1),$L986,"")</f>
        <v/>
      </c>
      <c r="T986" s="0" t="str">
        <f aca="false">IF(AND($C986="Treatment",$K986=1),$L986,"")</f>
        <v/>
      </c>
    </row>
    <row r="987" customFormat="false" ht="15" hidden="false" customHeight="false" outlineLevel="0" collapsed="false">
      <c r="A987" s="0" t="s">
        <v>1018</v>
      </c>
      <c r="B987" s="2" t="n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0" t="n">
        <v>1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P987" s="0" t="n">
        <v>77.5</v>
      </c>
      <c r="Q987" s="0" t="str">
        <f aca="false">IF($C987="Control",$P987,"")</f>
        <v/>
      </c>
      <c r="R987" s="3" t="n">
        <f aca="false">IF($C987="Treatment",$P987,"")</f>
        <v>77.5</v>
      </c>
      <c r="S987" s="0" t="str">
        <f aca="false">IF(AND($C987="Control",$K987=1),$L987,"")</f>
        <v/>
      </c>
      <c r="T987" s="0" t="str">
        <f aca="false">IF(AND($C987="Treatment",$K987=1),$L987,"")</f>
        <v/>
      </c>
    </row>
    <row r="988" customFormat="false" ht="15" hidden="false" customHeight="false" outlineLevel="0" collapsed="false">
      <c r="A988" s="0" t="s">
        <v>1019</v>
      </c>
      <c r="B988" s="2" t="n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2</v>
      </c>
      <c r="N988" s="0" t="n">
        <v>0</v>
      </c>
      <c r="P988" s="0" t="n">
        <v>57.5</v>
      </c>
      <c r="Q988" s="0" t="str">
        <f aca="false">IF($C988="Control",$P988,"")</f>
        <v/>
      </c>
      <c r="R988" s="3" t="n">
        <f aca="false">IF($C988="Treatment",$P988,"")</f>
        <v>57.5</v>
      </c>
      <c r="S988" s="0" t="str">
        <f aca="false">IF(AND($C988="Control",$K988=1),$L988,"")</f>
        <v/>
      </c>
      <c r="T988" s="0" t="str">
        <f aca="false">IF(AND($C988="Treatment",$K988=1),$L988,"")</f>
        <v/>
      </c>
    </row>
    <row r="989" customFormat="false" ht="15" hidden="false" customHeight="false" outlineLevel="0" collapsed="false">
      <c r="A989" s="0" t="s">
        <v>1020</v>
      </c>
      <c r="B989" s="2" t="n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0" t="n">
        <v>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P989" s="0" t="n">
        <v>64.2</v>
      </c>
      <c r="Q989" s="0" t="str">
        <f aca="false">IF($C989="Control",$P989,"")</f>
        <v/>
      </c>
      <c r="R989" s="3" t="n">
        <f aca="false">IF($C989="Treatment",$P989,"")</f>
        <v>64.2</v>
      </c>
      <c r="S989" s="0" t="str">
        <f aca="false">IF(AND($C989="Control",$K989=1),$L989,"")</f>
        <v/>
      </c>
      <c r="T989" s="0" t="str">
        <f aca="false">IF(AND($C989="Treatment",$K989=1),$L989,"")</f>
        <v/>
      </c>
    </row>
    <row r="990" customFormat="false" ht="15" hidden="false" customHeight="false" outlineLevel="0" collapsed="false">
      <c r="A990" s="0" t="s">
        <v>1021</v>
      </c>
      <c r="B990" s="2" t="n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P990" s="0" t="n">
        <v>60</v>
      </c>
      <c r="Q990" s="0" t="str">
        <f aca="false">IF($C990="Control",$P990,"")</f>
        <v/>
      </c>
      <c r="R990" s="3" t="n">
        <f aca="false">IF($C990="Treatment",$P990,"")</f>
        <v>60</v>
      </c>
      <c r="S990" s="0" t="str">
        <f aca="false">IF(AND($C990="Control",$K990=1),$L990,"")</f>
        <v/>
      </c>
      <c r="T990" s="0" t="str">
        <f aca="false">IF(AND($C990="Treatment",$K990=1),$L990,"")</f>
        <v/>
      </c>
    </row>
    <row r="991" customFormat="false" ht="15" hidden="false" customHeight="false" outlineLevel="0" collapsed="false">
      <c r="A991" s="0" t="s">
        <v>1022</v>
      </c>
      <c r="B991" s="2" t="n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0" t="n">
        <v>1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0</v>
      </c>
      <c r="P991" s="0" t="n">
        <v>43.7</v>
      </c>
      <c r="Q991" s="0" t="str">
        <f aca="false">IF($C991="Control",$P991,"")</f>
        <v/>
      </c>
      <c r="R991" s="3" t="n">
        <f aca="false">IF($C991="Treatment",$P991,"")</f>
        <v>43.7</v>
      </c>
      <c r="S991" s="0" t="str">
        <f aca="false">IF(AND($C991="Control",$K991=1),$L991,"")</f>
        <v/>
      </c>
      <c r="T991" s="0" t="str">
        <f aca="false">IF(AND($C991="Treatment",$K991=1),$L991,"")</f>
        <v/>
      </c>
    </row>
    <row r="992" customFormat="false" ht="15" hidden="false" customHeight="false" outlineLevel="0" collapsed="false">
      <c r="A992" s="0" t="s">
        <v>1023</v>
      </c>
      <c r="B992" s="2" t="n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0" t="n">
        <v>1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P992" s="0" t="n">
        <v>64.9</v>
      </c>
      <c r="Q992" s="0" t="str">
        <f aca="false">IF($C992="Control",$P992,"")</f>
        <v/>
      </c>
      <c r="R992" s="3" t="n">
        <f aca="false">IF($C992="Treatment",$P992,"")</f>
        <v>64.9</v>
      </c>
      <c r="S992" s="0" t="str">
        <f aca="false">IF(AND($C992="Control",$K992=1),$L992,"")</f>
        <v/>
      </c>
      <c r="T992" s="0" t="str">
        <f aca="false">IF(AND($C992="Treatment",$K992=1),$L992,"")</f>
        <v/>
      </c>
    </row>
    <row r="993" customFormat="false" ht="15" hidden="false" customHeight="false" outlineLevel="0" collapsed="false">
      <c r="A993" s="0" t="s">
        <v>1024</v>
      </c>
      <c r="B993" s="2" t="n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0" t="n">
        <v>1</v>
      </c>
      <c r="I993" s="0" t="n">
        <v>1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P993" s="0" t="n">
        <v>45.5</v>
      </c>
      <c r="Q993" s="0" t="str">
        <f aca="false">IF($C993="Control",$P993,"")</f>
        <v/>
      </c>
      <c r="R993" s="3" t="n">
        <f aca="false">IF($C993="Treatment",$P993,"")</f>
        <v>45.5</v>
      </c>
      <c r="S993" s="0" t="str">
        <f aca="false">IF(AND($C993="Control",$K993=1),$L993,"")</f>
        <v/>
      </c>
      <c r="T993" s="0" t="str">
        <f aca="false">IF(AND($C993="Treatment",$K993=1),$L993,"")</f>
        <v/>
      </c>
    </row>
    <row r="994" customFormat="false" ht="15" hidden="false" customHeight="false" outlineLevel="0" collapsed="false">
      <c r="A994" s="0" t="s">
        <v>1025</v>
      </c>
      <c r="B994" s="2" t="n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0" t="n">
        <v>1</v>
      </c>
      <c r="I994" s="0" t="n">
        <v>1</v>
      </c>
      <c r="J994" s="0" t="n">
        <v>1</v>
      </c>
      <c r="K994" s="0" t="n">
        <v>1</v>
      </c>
      <c r="L994" s="0" t="n">
        <v>1772.97</v>
      </c>
      <c r="M994" s="0" t="n">
        <v>0</v>
      </c>
      <c r="N994" s="0" t="n">
        <v>0</v>
      </c>
      <c r="O994" s="0" t="n">
        <v>8</v>
      </c>
      <c r="P994" s="0" t="n">
        <v>61.2</v>
      </c>
      <c r="Q994" s="0" t="str">
        <f aca="false">IF($C994="Control",$P994,"")</f>
        <v/>
      </c>
      <c r="R994" s="3" t="n">
        <f aca="false">IF($C994="Treatment",$P994,"")</f>
        <v>61.2</v>
      </c>
      <c r="S994" s="0" t="str">
        <f aca="false">IF(AND($C994="Control",$K994=1),$L994,"")</f>
        <v/>
      </c>
      <c r="T994" s="3" t="n">
        <f aca="false">IF(AND($C994="Treatment",$K994=1),$L994,"")</f>
        <v>1772.97</v>
      </c>
    </row>
    <row r="995" customFormat="false" ht="15" hidden="false" customHeight="false" outlineLevel="0" collapsed="false">
      <c r="A995" s="0" t="s">
        <v>1026</v>
      </c>
      <c r="B995" s="2" t="n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P995" s="0" t="n">
        <v>87.8</v>
      </c>
      <c r="Q995" s="0" t="str">
        <f aca="false">IF($C995="Control",$P995,"")</f>
        <v/>
      </c>
      <c r="R995" s="3" t="n">
        <f aca="false">IF($C995="Treatment",$P995,"")</f>
        <v>87.8</v>
      </c>
      <c r="S995" s="0" t="str">
        <f aca="false">IF(AND($C995="Control",$K995=1),$L995,"")</f>
        <v/>
      </c>
      <c r="T995" s="0" t="str">
        <f aca="false">IF(AND($C995="Treatment",$K995=1),$L995,"")</f>
        <v/>
      </c>
    </row>
    <row r="996" customFormat="false" ht="15" hidden="false" customHeight="false" outlineLevel="0" collapsed="false">
      <c r="A996" s="0" t="s">
        <v>1027</v>
      </c>
      <c r="B996" s="2" t="n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P996" s="0" t="n">
        <v>86.4</v>
      </c>
      <c r="Q996" s="0" t="str">
        <f aca="false">IF($C996="Control",$P996,"")</f>
        <v/>
      </c>
      <c r="R996" s="3" t="n">
        <f aca="false">IF($C996="Treatment",$P996,"")</f>
        <v>86.4</v>
      </c>
      <c r="S996" s="0" t="str">
        <f aca="false">IF(AND($C996="Control",$K996=1),$L996,"")</f>
        <v/>
      </c>
      <c r="T996" s="0" t="str">
        <f aca="false">IF(AND($C996="Treatment",$K996=1),$L996,"")</f>
        <v/>
      </c>
    </row>
    <row r="997" customFormat="false" ht="15" hidden="false" customHeight="false" outlineLevel="0" collapsed="false">
      <c r="A997" s="0" t="s">
        <v>1028</v>
      </c>
      <c r="B997" s="2" t="n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0</v>
      </c>
      <c r="P997" s="0" t="n">
        <v>71.4</v>
      </c>
      <c r="Q997" s="0" t="str">
        <f aca="false">IF($C997="Control",$P997,"")</f>
        <v/>
      </c>
      <c r="R997" s="3" t="n">
        <f aca="false">IF($C997="Treatment",$P997,"")</f>
        <v>71.4</v>
      </c>
      <c r="S997" s="0" t="str">
        <f aca="false">IF(AND($C997="Control",$K997=1),$L997,"")</f>
        <v/>
      </c>
      <c r="T997" s="0" t="str">
        <f aca="false">IF(AND($C997="Treatment",$K997=1),$L997,"")</f>
        <v/>
      </c>
    </row>
    <row r="998" customFormat="false" ht="15" hidden="false" customHeight="false" outlineLevel="0" collapsed="false">
      <c r="A998" s="0" t="s">
        <v>1029</v>
      </c>
      <c r="B998" s="2" t="n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0" t="n">
        <v>1</v>
      </c>
      <c r="I998" s="0" t="n">
        <v>1</v>
      </c>
      <c r="J998" s="0" t="n">
        <v>1</v>
      </c>
      <c r="K998" s="0" t="n">
        <v>1</v>
      </c>
      <c r="L998" s="0" t="n">
        <v>218.66</v>
      </c>
      <c r="M998" s="0" t="n">
        <v>0</v>
      </c>
      <c r="N998" s="0" t="n">
        <v>1</v>
      </c>
      <c r="O998" s="0" t="n">
        <v>8</v>
      </c>
      <c r="P998" s="0" t="n">
        <v>72.2</v>
      </c>
      <c r="Q998" s="0" t="str">
        <f aca="false">IF($C998="Control",$P998,"")</f>
        <v/>
      </c>
      <c r="R998" s="3" t="n">
        <f aca="false">IF($C998="Treatment",$P998,"")</f>
        <v>72.2</v>
      </c>
      <c r="S998" s="0" t="str">
        <f aca="false">IF(AND($C998="Control",$K998=1),$L998,"")</f>
        <v/>
      </c>
      <c r="T998" s="3" t="n">
        <f aca="false">IF(AND($C998="Treatment",$K998=1),$L998,"")</f>
        <v>218.66</v>
      </c>
    </row>
    <row r="999" customFormat="false" ht="15" hidden="false" customHeight="false" outlineLevel="0" collapsed="false">
      <c r="A999" s="0" t="s">
        <v>1030</v>
      </c>
      <c r="B999" s="2" t="n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0" t="n">
        <v>1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P999" s="0" t="n">
        <v>51.9</v>
      </c>
      <c r="Q999" s="0" t="str">
        <f aca="false">IF($C999="Control",$P999,"")</f>
        <v/>
      </c>
      <c r="R999" s="3" t="n">
        <f aca="false">IF($C999="Treatment",$P999,"")</f>
        <v>51.9</v>
      </c>
      <c r="S999" s="0" t="str">
        <f aca="false">IF(AND($C999="Control",$K999=1),$L999,"")</f>
        <v/>
      </c>
      <c r="T999" s="0" t="str">
        <f aca="false">IF(AND($C999="Treatment",$K999=1),$L999,"")</f>
        <v/>
      </c>
    </row>
    <row r="1000" customFormat="false" ht="15" hidden="false" customHeight="false" outlineLevel="0" collapsed="false">
      <c r="A1000" s="0" t="s">
        <v>1031</v>
      </c>
      <c r="B1000" s="2" t="n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0" t="n">
        <v>1</v>
      </c>
      <c r="I1000" s="0" t="n">
        <v>1</v>
      </c>
      <c r="J1000" s="0" t="n">
        <v>1</v>
      </c>
      <c r="K1000" s="0" t="n">
        <v>0</v>
      </c>
      <c r="L1000" s="0" t="n">
        <v>0</v>
      </c>
      <c r="M1000" s="0" t="n">
        <v>0</v>
      </c>
      <c r="N1000" s="0" t="n">
        <v>0</v>
      </c>
      <c r="P1000" s="0" t="n">
        <v>70.3</v>
      </c>
      <c r="Q1000" s="0" t="str">
        <f aca="false">IF($C1000="Control",$P1000,"")</f>
        <v/>
      </c>
      <c r="R1000" s="3" t="n">
        <f aca="false">IF($C1000="Treatment",$P1000,"")</f>
        <v>70.3</v>
      </c>
      <c r="S1000" s="0" t="str">
        <f aca="false">IF(AND($C1000="Control",$K1000=1),$L1000,"")</f>
        <v/>
      </c>
      <c r="T1000" s="0" t="str">
        <f aca="false">IF(AND($C1000="Treatment",$K1000=1),$L1000,"")</f>
        <v/>
      </c>
    </row>
    <row r="1001" customFormat="false" ht="15" hidden="false" customHeight="false" outlineLevel="0" collapsed="false">
      <c r="A1001" s="0" t="s">
        <v>1032</v>
      </c>
      <c r="B1001" s="2" t="n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0" t="n">
        <v>1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0</v>
      </c>
      <c r="P1001" s="0" t="n">
        <v>49.2</v>
      </c>
      <c r="Q1001" s="0" t="str">
        <f aca="false">IF($C1001="Control",$P1001,"")</f>
        <v/>
      </c>
      <c r="R1001" s="3" t="n">
        <f aca="false">IF($C1001="Treatment",$P1001,"")</f>
        <v>49.2</v>
      </c>
      <c r="S1001" s="0" t="str">
        <f aca="false">IF(AND($C1001="Control",$K1001=1),$L1001,"")</f>
        <v/>
      </c>
      <c r="T1001" s="0" t="str">
        <f aca="false">IF(AND($C1001="Treatment",$K1001=1),$L1001,"")</f>
        <v/>
      </c>
    </row>
    <row r="1002" customFormat="false" ht="15" hidden="false" customHeight="false" outlineLevel="0" collapsed="false">
      <c r="A1002" s="0" t="s">
        <v>1033</v>
      </c>
      <c r="B1002" s="2" t="n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P1002" s="0" t="n">
        <v>52.2</v>
      </c>
      <c r="Q1002" s="0" t="str">
        <f aca="false">IF($C1002="Control",$P1002,"")</f>
        <v/>
      </c>
      <c r="R1002" s="3" t="n">
        <f aca="false">IF($C1002="Treatment",$P1002,"")</f>
        <v>52.2</v>
      </c>
      <c r="S1002" s="0" t="str">
        <f aca="false">IF(AND($C1002="Control",$K1002=1),$L1002,"")</f>
        <v/>
      </c>
      <c r="T1002" s="0" t="str">
        <f aca="false">IF(AND($C1002="Treatment",$K1002=1),$L1002,"")</f>
        <v/>
      </c>
    </row>
    <row r="1003" customFormat="false" ht="15" hidden="false" customHeight="false" outlineLevel="0" collapsed="false">
      <c r="A1003" s="0" t="s">
        <v>1034</v>
      </c>
      <c r="B1003" s="2" t="n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0</v>
      </c>
      <c r="P1003" s="0" t="n">
        <v>62.6</v>
      </c>
      <c r="Q1003" s="0" t="str">
        <f aca="false">IF($C1003="Control",$P1003,"")</f>
        <v/>
      </c>
      <c r="R1003" s="3" t="n">
        <f aca="false">IF($C1003="Treatment",$P1003,"")</f>
        <v>62.6</v>
      </c>
      <c r="S1003" s="0" t="str">
        <f aca="false">IF(AND($C1003="Control",$K1003=1),$L1003,"")</f>
        <v/>
      </c>
      <c r="T1003" s="0" t="str">
        <f aca="false">IF(AND($C1003="Treatment",$K1003=1),$L1003,"")</f>
        <v/>
      </c>
    </row>
    <row r="1004" customFormat="false" ht="15" hidden="false" customHeight="false" outlineLevel="0" collapsed="false">
      <c r="A1004" s="0" t="s">
        <v>1035</v>
      </c>
      <c r="B1004" s="2" t="n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0" t="n">
        <v>1</v>
      </c>
      <c r="I1004" s="0" t="n">
        <v>1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P1004" s="0" t="n">
        <v>100</v>
      </c>
      <c r="Q1004" s="0" t="str">
        <f aca="false">IF($C1004="Control",$P1004,"")</f>
        <v/>
      </c>
      <c r="R1004" s="3" t="n">
        <f aca="false">IF($C1004="Treatment",$P1004,"")</f>
        <v>100</v>
      </c>
      <c r="S1004" s="0" t="str">
        <f aca="false">IF(AND($C1004="Control",$K1004=1),$L1004,"")</f>
        <v/>
      </c>
      <c r="T1004" s="0" t="str">
        <f aca="false">IF(AND($C1004="Treatment",$K1004=1),$L1004,"")</f>
        <v/>
      </c>
    </row>
    <row r="1005" customFormat="false" ht="15" hidden="false" customHeight="false" outlineLevel="0" collapsed="false">
      <c r="A1005" s="0" t="s">
        <v>1036</v>
      </c>
      <c r="B1005" s="2" t="n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0" t="n">
        <v>1</v>
      </c>
      <c r="I1005" s="0" t="n">
        <v>1</v>
      </c>
      <c r="J1005" s="0" t="n">
        <v>1</v>
      </c>
      <c r="K1005" s="0" t="n">
        <v>0</v>
      </c>
      <c r="L1005" s="0" t="n">
        <v>0</v>
      </c>
      <c r="M1005" s="0" t="n">
        <v>2</v>
      </c>
      <c r="N1005" s="0" t="n">
        <v>0</v>
      </c>
      <c r="P1005" s="0" t="n">
        <v>45.9</v>
      </c>
      <c r="Q1005" s="0" t="str">
        <f aca="false">IF($C1005="Control",$P1005,"")</f>
        <v/>
      </c>
      <c r="R1005" s="3" t="n">
        <f aca="false">IF($C1005="Treatment",$P1005,"")</f>
        <v>45.9</v>
      </c>
      <c r="S1005" s="0" t="str">
        <f aca="false">IF(AND($C1005="Control",$K1005=1),$L1005,"")</f>
        <v/>
      </c>
      <c r="T1005" s="0" t="str">
        <f aca="false">IF(AND($C1005="Treatment",$K1005=1),$L1005,"")</f>
        <v/>
      </c>
    </row>
    <row r="1006" customFormat="false" ht="15" hidden="false" customHeight="false" outlineLevel="0" collapsed="false">
      <c r="A1006" s="0" t="s">
        <v>1037</v>
      </c>
      <c r="B1006" s="2" t="n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0" t="n">
        <v>1</v>
      </c>
      <c r="I1006" s="0" t="n">
        <v>1</v>
      </c>
      <c r="J1006" s="0" t="n">
        <v>1</v>
      </c>
      <c r="K1006" s="0" t="n">
        <v>0</v>
      </c>
      <c r="L1006" s="0" t="n">
        <v>0</v>
      </c>
      <c r="M1006" s="0" t="n">
        <v>0</v>
      </c>
      <c r="N1006" s="0" t="n">
        <v>0</v>
      </c>
      <c r="P1006" s="0" t="n">
        <v>80.7</v>
      </c>
      <c r="Q1006" s="0" t="str">
        <f aca="false">IF($C1006="Control",$P1006,"")</f>
        <v/>
      </c>
      <c r="R1006" s="3" t="n">
        <f aca="false">IF($C1006="Treatment",$P1006,"")</f>
        <v>80.7</v>
      </c>
      <c r="S1006" s="0" t="str">
        <f aca="false">IF(AND($C1006="Control",$K1006=1),$L1006,"")</f>
        <v/>
      </c>
      <c r="T1006" s="0" t="str">
        <f aca="false">IF(AND($C1006="Treatment",$K1006=1),$L1006,"")</f>
        <v/>
      </c>
    </row>
    <row r="1007" customFormat="false" ht="15" hidden="false" customHeight="false" outlineLevel="0" collapsed="false">
      <c r="A1007" s="0" t="s">
        <v>1038</v>
      </c>
      <c r="B1007" s="2" t="n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0" t="n">
        <v>1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P1007" s="0" t="n">
        <v>51.9</v>
      </c>
      <c r="Q1007" s="0" t="str">
        <f aca="false">IF($C1007="Control",$P1007,"")</f>
        <v/>
      </c>
      <c r="R1007" s="3" t="n">
        <f aca="false">IF($C1007="Treatment",$P1007,"")</f>
        <v>51.9</v>
      </c>
      <c r="S1007" s="0" t="str">
        <f aca="false">IF(AND($C1007="Control",$K1007=1),$L1007,"")</f>
        <v/>
      </c>
      <c r="T1007" s="0" t="str">
        <f aca="false">IF(AND($C1007="Treatment",$K1007=1),$L1007,"")</f>
        <v/>
      </c>
    </row>
    <row r="1008" customFormat="false" ht="15" hidden="false" customHeight="false" outlineLevel="0" collapsed="false">
      <c r="A1008" s="0" t="s">
        <v>1039</v>
      </c>
      <c r="B1008" s="2" t="n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0" t="n">
        <v>1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P1008" s="0" t="n">
        <v>68.9</v>
      </c>
      <c r="Q1008" s="0" t="str">
        <f aca="false">IF($C1008="Control",$P1008,"")</f>
        <v/>
      </c>
      <c r="R1008" s="3" t="n">
        <f aca="false">IF($C1008="Treatment",$P1008,"")</f>
        <v>68.9</v>
      </c>
      <c r="S1008" s="0" t="str">
        <f aca="false">IF(AND($C1008="Control",$K1008=1),$L1008,"")</f>
        <v/>
      </c>
      <c r="T1008" s="0" t="str">
        <f aca="false">IF(AND($C1008="Treatment",$K1008=1),$L1008,"")</f>
        <v/>
      </c>
    </row>
    <row r="1009" customFormat="false" ht="15" hidden="false" customHeight="false" outlineLevel="0" collapsed="false">
      <c r="A1009" s="0" t="s">
        <v>1040</v>
      </c>
      <c r="B1009" s="2" t="n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0" t="n">
        <v>1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P1009" s="0" t="n">
        <v>66</v>
      </c>
      <c r="Q1009" s="0" t="str">
        <f aca="false">IF($C1009="Control",$P1009,"")</f>
        <v/>
      </c>
      <c r="R1009" s="3" t="n">
        <f aca="false">IF($C1009="Treatment",$P1009,"")</f>
        <v>66</v>
      </c>
      <c r="S1009" s="0" t="str">
        <f aca="false">IF(AND($C1009="Control",$K1009=1),$L1009,"")</f>
        <v/>
      </c>
      <c r="T1009" s="0" t="str">
        <f aca="false">IF(AND($C1009="Treatment",$K1009=1),$L1009,"")</f>
        <v/>
      </c>
    </row>
    <row r="1010" customFormat="false" ht="15" hidden="false" customHeight="false" outlineLevel="0" collapsed="false">
      <c r="A1010" s="0" t="s">
        <v>1041</v>
      </c>
      <c r="B1010" s="2" t="n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P1010" s="0" t="n">
        <v>63.1</v>
      </c>
      <c r="Q1010" s="0" t="str">
        <f aca="false">IF($C1010="Control",$P1010,"")</f>
        <v/>
      </c>
      <c r="R1010" s="3" t="n">
        <f aca="false">IF($C1010="Treatment",$P1010,"")</f>
        <v>63.1</v>
      </c>
      <c r="S1010" s="0" t="str">
        <f aca="false">IF(AND($C1010="Control",$K1010=1),$L1010,"")</f>
        <v/>
      </c>
      <c r="T1010" s="0" t="str">
        <f aca="false">IF(AND($C1010="Treatment",$K1010=1),$L1010,"")</f>
        <v/>
      </c>
    </row>
    <row r="1011" customFormat="false" ht="15" hidden="false" customHeight="false" outlineLevel="0" collapsed="false">
      <c r="A1011" s="0" t="s">
        <v>1042</v>
      </c>
      <c r="B1011" s="2" t="n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P1011" s="0" t="n">
        <v>56</v>
      </c>
      <c r="Q1011" s="0" t="str">
        <f aca="false">IF($C1011="Control",$P1011,"")</f>
        <v/>
      </c>
      <c r="R1011" s="3" t="n">
        <f aca="false">IF($C1011="Treatment",$P1011,"")</f>
        <v>56</v>
      </c>
      <c r="S1011" s="0" t="str">
        <f aca="false">IF(AND($C1011="Control",$K1011=1),$L1011,"")</f>
        <v/>
      </c>
      <c r="T1011" s="0" t="str">
        <f aca="false">IF(AND($C1011="Treatment",$K1011=1),$L1011,"")</f>
        <v/>
      </c>
    </row>
    <row r="1012" customFormat="false" ht="15" hidden="false" customHeight="false" outlineLevel="0" collapsed="false">
      <c r="A1012" s="0" t="s">
        <v>1043</v>
      </c>
      <c r="B1012" s="2" t="n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0" t="n">
        <v>1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0</v>
      </c>
      <c r="P1012" s="0" t="n">
        <v>65.7</v>
      </c>
      <c r="Q1012" s="0" t="str">
        <f aca="false">IF($C1012="Control",$P1012,"")</f>
        <v/>
      </c>
      <c r="R1012" s="3" t="n">
        <f aca="false">IF($C1012="Treatment",$P1012,"")</f>
        <v>65.7</v>
      </c>
      <c r="S1012" s="0" t="str">
        <f aca="false">IF(AND($C1012="Control",$K1012=1),$L1012,"")</f>
        <v/>
      </c>
      <c r="T1012" s="0" t="str">
        <f aca="false">IF(AND($C1012="Treatment",$K1012=1),$L1012,"")</f>
        <v/>
      </c>
    </row>
    <row r="1013" customFormat="false" ht="15" hidden="false" customHeight="false" outlineLevel="0" collapsed="false">
      <c r="A1013" s="0" t="s">
        <v>1044</v>
      </c>
      <c r="B1013" s="2" t="n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0" t="n">
        <v>1</v>
      </c>
      <c r="I1013" s="0" t="n">
        <v>1</v>
      </c>
      <c r="J1013" s="0" t="n">
        <v>1</v>
      </c>
      <c r="K1013" s="0" t="n">
        <v>1</v>
      </c>
      <c r="L1013" s="0" t="n">
        <v>1938.31</v>
      </c>
      <c r="M1013" s="0" t="n">
        <v>1</v>
      </c>
      <c r="N1013" s="0" t="n">
        <v>0</v>
      </c>
      <c r="O1013" s="0" t="n">
        <v>9</v>
      </c>
      <c r="P1013" s="0" t="n">
        <v>60.9</v>
      </c>
      <c r="Q1013" s="0" t="str">
        <f aca="false">IF($C1013="Control",$P1013,"")</f>
        <v/>
      </c>
      <c r="R1013" s="3" t="n">
        <f aca="false">IF($C1013="Treatment",$P1013,"")</f>
        <v>60.9</v>
      </c>
      <c r="S1013" s="0" t="str">
        <f aca="false">IF(AND($C1013="Control",$K1013=1),$L1013,"")</f>
        <v/>
      </c>
      <c r="T1013" s="3" t="n">
        <f aca="false">IF(AND($C1013="Treatment",$K1013=1),$L1013,"")</f>
        <v>1938.31</v>
      </c>
    </row>
    <row r="1014" customFormat="false" ht="15" hidden="false" customHeight="false" outlineLevel="0" collapsed="false">
      <c r="A1014" s="0" t="s">
        <v>1045</v>
      </c>
      <c r="B1014" s="2" t="n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P1014" s="0" t="n">
        <v>45.5</v>
      </c>
      <c r="Q1014" s="0" t="str">
        <f aca="false">IF($C1014="Control",$P1014,"")</f>
        <v/>
      </c>
      <c r="R1014" s="3" t="n">
        <f aca="false">IF($C1014="Treatment",$P1014,"")</f>
        <v>45.5</v>
      </c>
      <c r="S1014" s="0" t="str">
        <f aca="false">IF(AND($C1014="Control",$K1014=1),$L1014,"")</f>
        <v/>
      </c>
      <c r="T1014" s="0" t="str">
        <f aca="false">IF(AND($C1014="Treatment",$K1014=1),$L1014,"")</f>
        <v/>
      </c>
    </row>
    <row r="1015" customFormat="false" ht="15" hidden="false" customHeight="false" outlineLevel="0" collapsed="false">
      <c r="A1015" s="0" t="s">
        <v>1046</v>
      </c>
      <c r="B1015" s="2" t="n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0" t="n">
        <v>1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P1015" s="0" t="n">
        <v>50</v>
      </c>
      <c r="Q1015" s="0" t="str">
        <f aca="false">IF($C1015="Control",$P1015,"")</f>
        <v/>
      </c>
      <c r="R1015" s="3" t="n">
        <f aca="false">IF($C1015="Treatment",$P1015,"")</f>
        <v>50</v>
      </c>
      <c r="S1015" s="0" t="str">
        <f aca="false">IF(AND($C1015="Control",$K1015=1),$L1015,"")</f>
        <v/>
      </c>
      <c r="T1015" s="0" t="str">
        <f aca="false">IF(AND($C1015="Treatment",$K1015=1),$L1015,"")</f>
        <v/>
      </c>
    </row>
    <row r="1016" customFormat="false" ht="15" hidden="false" customHeight="false" outlineLevel="0" collapsed="false">
      <c r="A1016" s="0" t="s">
        <v>1047</v>
      </c>
      <c r="B1016" s="2" t="n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0" t="n">
        <v>1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P1016" s="0" t="n">
        <v>72.1</v>
      </c>
      <c r="Q1016" s="0" t="str">
        <f aca="false">IF($C1016="Control",$P1016,"")</f>
        <v/>
      </c>
      <c r="R1016" s="3" t="n">
        <f aca="false">IF($C1016="Treatment",$P1016,"")</f>
        <v>72.1</v>
      </c>
      <c r="S1016" s="0" t="str">
        <f aca="false">IF(AND($C1016="Control",$K1016=1),$L1016,"")</f>
        <v/>
      </c>
      <c r="T1016" s="0" t="str">
        <f aca="false">IF(AND($C1016="Treatment",$K1016=1),$L1016,"")</f>
        <v/>
      </c>
    </row>
    <row r="1017" customFormat="false" ht="15" hidden="false" customHeight="false" outlineLevel="0" collapsed="false">
      <c r="A1017" s="0" t="s">
        <v>1048</v>
      </c>
      <c r="B1017" s="2" t="n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0" t="n">
        <v>1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P1017" s="0" t="n">
        <v>76.3</v>
      </c>
      <c r="Q1017" s="0" t="str">
        <f aca="false">IF($C1017="Control",$P1017,"")</f>
        <v/>
      </c>
      <c r="R1017" s="3" t="n">
        <f aca="false">IF($C1017="Treatment",$P1017,"")</f>
        <v>76.3</v>
      </c>
      <c r="S1017" s="0" t="str">
        <f aca="false">IF(AND($C1017="Control",$K1017=1),$L1017,"")</f>
        <v/>
      </c>
      <c r="T1017" s="0" t="str">
        <f aca="false">IF(AND($C1017="Treatment",$K1017=1),$L1017,"")</f>
        <v/>
      </c>
    </row>
    <row r="1018" customFormat="false" ht="15" hidden="false" customHeight="false" outlineLevel="0" collapsed="false">
      <c r="A1018" s="0" t="s">
        <v>1049</v>
      </c>
      <c r="B1018" s="2" t="n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0" t="n">
        <v>1</v>
      </c>
      <c r="I1018" s="0" t="n">
        <v>1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0</v>
      </c>
      <c r="P1018" s="0" t="n">
        <v>54.8</v>
      </c>
      <c r="Q1018" s="0" t="str">
        <f aca="false">IF($C1018="Control",$P1018,"")</f>
        <v/>
      </c>
      <c r="R1018" s="3" t="n">
        <f aca="false">IF($C1018="Treatment",$P1018,"")</f>
        <v>54.8</v>
      </c>
      <c r="S1018" s="0" t="str">
        <f aca="false">IF(AND($C1018="Control",$K1018=1),$L1018,"")</f>
        <v/>
      </c>
      <c r="T1018" s="0" t="str">
        <f aca="false">IF(AND($C1018="Treatment",$K1018=1),$L1018,"")</f>
        <v/>
      </c>
    </row>
    <row r="1019" customFormat="false" ht="15" hidden="false" customHeight="false" outlineLevel="0" collapsed="false">
      <c r="A1019" s="0" t="s">
        <v>1050</v>
      </c>
      <c r="B1019" s="2" t="n">
        <v>45748</v>
      </c>
      <c r="C1019" s="3" t="s">
        <v>723</v>
      </c>
      <c r="D1019" s="3" t="s">
        <v>32</v>
      </c>
      <c r="E1019" s="3" t="s">
        <v>24</v>
      </c>
      <c r="F1019" s="3" t="s">
        <v>1470</v>
      </c>
      <c r="G1019" s="3" t="s">
        <v>21</v>
      </c>
      <c r="H1019" s="0" t="n">
        <v>1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P1019" s="0" t="n">
        <v>63.6</v>
      </c>
      <c r="Q1019" s="0" t="str">
        <f aca="false">IF($C1019="Control",$P1019,"")</f>
        <v/>
      </c>
      <c r="R1019" s="3" t="n">
        <f aca="false">IF($C1019="Treatment",$P1019,"")</f>
        <v>63.6</v>
      </c>
      <c r="S1019" s="0" t="str">
        <f aca="false">IF(AND($C1019="Control",$K1019=1),$L1019,"")</f>
        <v/>
      </c>
      <c r="T1019" s="0" t="str">
        <f aca="false">IF(AND($C1019="Treatment",$K1019=1),$L1019,"")</f>
        <v/>
      </c>
    </row>
    <row r="1020" customFormat="false" ht="15" hidden="false" customHeight="false" outlineLevel="0" collapsed="false">
      <c r="A1020" s="0" t="s">
        <v>1051</v>
      </c>
      <c r="B1020" s="2" t="n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0" t="n">
        <v>1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P1020" s="0" t="n">
        <v>68.8</v>
      </c>
      <c r="Q1020" s="0" t="str">
        <f aca="false">IF($C1020="Control",$P1020,"")</f>
        <v/>
      </c>
      <c r="R1020" s="3" t="n">
        <f aca="false">IF($C1020="Treatment",$P1020,"")</f>
        <v>68.8</v>
      </c>
      <c r="S1020" s="0" t="str">
        <f aca="false">IF(AND($C1020="Control",$K1020=1),$L1020,"")</f>
        <v/>
      </c>
      <c r="T1020" s="0" t="str">
        <f aca="false">IF(AND($C1020="Treatment",$K1020=1),$L1020,"")</f>
        <v/>
      </c>
    </row>
    <row r="1021" customFormat="false" ht="15" hidden="false" customHeight="false" outlineLevel="0" collapsed="false">
      <c r="A1021" s="0" t="s">
        <v>1052</v>
      </c>
      <c r="B1021" s="2" t="n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0" t="n">
        <v>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P1021" s="0" t="n">
        <v>63.2</v>
      </c>
      <c r="Q1021" s="0" t="str">
        <f aca="false">IF($C1021="Control",$P1021,"")</f>
        <v/>
      </c>
      <c r="R1021" s="3" t="n">
        <f aca="false">IF($C1021="Treatment",$P1021,"")</f>
        <v>63.2</v>
      </c>
      <c r="S1021" s="0" t="str">
        <f aca="false">IF(AND($C1021="Control",$K1021=1),$L1021,"")</f>
        <v/>
      </c>
      <c r="T1021" s="0" t="str">
        <f aca="false">IF(AND($C1021="Treatment",$K1021=1),$L1021,"")</f>
        <v/>
      </c>
    </row>
    <row r="1022" customFormat="false" ht="15" hidden="false" customHeight="false" outlineLevel="0" collapsed="false">
      <c r="A1022" s="0" t="s">
        <v>1053</v>
      </c>
      <c r="B1022" s="2" t="n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P1022" s="0" t="n">
        <v>45</v>
      </c>
      <c r="Q1022" s="0" t="str">
        <f aca="false">IF($C1022="Control",$P1022,"")</f>
        <v/>
      </c>
      <c r="R1022" s="3" t="n">
        <f aca="false">IF($C1022="Treatment",$P1022,"")</f>
        <v>45</v>
      </c>
      <c r="S1022" s="0" t="str">
        <f aca="false">IF(AND($C1022="Control",$K1022=1),$L1022,"")</f>
        <v/>
      </c>
      <c r="T1022" s="0" t="str">
        <f aca="false">IF(AND($C1022="Treatment",$K1022=1),$L1022,"")</f>
        <v/>
      </c>
    </row>
    <row r="1023" customFormat="false" ht="15" hidden="false" customHeight="false" outlineLevel="0" collapsed="false">
      <c r="A1023" s="0" t="s">
        <v>1054</v>
      </c>
      <c r="B1023" s="2" t="n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0" t="n">
        <v>1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P1023" s="0" t="n">
        <v>77.4</v>
      </c>
      <c r="Q1023" s="0" t="str">
        <f aca="false">IF($C1023="Control",$P1023,"")</f>
        <v/>
      </c>
      <c r="R1023" s="3" t="n">
        <f aca="false">IF($C1023="Treatment",$P1023,"")</f>
        <v>77.4</v>
      </c>
      <c r="S1023" s="0" t="str">
        <f aca="false">IF(AND($C1023="Control",$K1023=1),$L1023,"")</f>
        <v/>
      </c>
      <c r="T1023" s="0" t="str">
        <f aca="false">IF(AND($C1023="Treatment",$K1023=1),$L1023,"")</f>
        <v/>
      </c>
    </row>
    <row r="1024" customFormat="false" ht="15" hidden="false" customHeight="false" outlineLevel="0" collapsed="false">
      <c r="A1024" s="0" t="s">
        <v>1055</v>
      </c>
      <c r="B1024" s="2" t="n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P1024" s="0" t="n">
        <v>53.1</v>
      </c>
      <c r="Q1024" s="0" t="str">
        <f aca="false">IF($C1024="Control",$P1024,"")</f>
        <v/>
      </c>
      <c r="R1024" s="3" t="n">
        <f aca="false">IF($C1024="Treatment",$P1024,"")</f>
        <v>53.1</v>
      </c>
      <c r="S1024" s="0" t="str">
        <f aca="false">IF(AND($C1024="Control",$K1024=1),$L1024,"")</f>
        <v/>
      </c>
      <c r="T1024" s="0" t="str">
        <f aca="false">IF(AND($C1024="Treatment",$K1024=1),$L1024,"")</f>
        <v/>
      </c>
    </row>
    <row r="1025" customFormat="false" ht="15" hidden="false" customHeight="false" outlineLevel="0" collapsed="false">
      <c r="A1025" s="0" t="s">
        <v>1056</v>
      </c>
      <c r="B1025" s="2" t="n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P1025" s="0" t="n">
        <v>74</v>
      </c>
      <c r="Q1025" s="0" t="str">
        <f aca="false">IF($C1025="Control",$P1025,"")</f>
        <v/>
      </c>
      <c r="R1025" s="3" t="n">
        <f aca="false">IF($C1025="Treatment",$P1025,"")</f>
        <v>74</v>
      </c>
      <c r="S1025" s="0" t="str">
        <f aca="false">IF(AND($C1025="Control",$K1025=1),$L1025,"")</f>
        <v/>
      </c>
      <c r="T1025" s="0" t="str">
        <f aca="false">IF(AND($C1025="Treatment",$K1025=1),$L1025,"")</f>
        <v/>
      </c>
    </row>
    <row r="1026" customFormat="false" ht="15" hidden="false" customHeight="false" outlineLevel="0" collapsed="false">
      <c r="A1026" s="0" t="s">
        <v>1057</v>
      </c>
      <c r="B1026" s="2" t="n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0" t="n">
        <v>1</v>
      </c>
      <c r="I1026" s="0" t="n">
        <v>1</v>
      </c>
      <c r="J1026" s="0" t="n">
        <v>1</v>
      </c>
      <c r="K1026" s="0" t="n">
        <v>1</v>
      </c>
      <c r="L1026" s="0" t="n">
        <v>1906.23</v>
      </c>
      <c r="M1026" s="0" t="n">
        <v>0</v>
      </c>
      <c r="N1026" s="0" t="n">
        <v>0</v>
      </c>
      <c r="O1026" s="0" t="n">
        <v>4</v>
      </c>
      <c r="P1026" s="0" t="n">
        <v>84.6</v>
      </c>
      <c r="Q1026" s="0" t="str">
        <f aca="false">IF($C1026="Control",$P1026,"")</f>
        <v/>
      </c>
      <c r="R1026" s="3" t="n">
        <f aca="false">IF($C1026="Treatment",$P1026,"")</f>
        <v>84.6</v>
      </c>
      <c r="S1026" s="0" t="str">
        <f aca="false">IF(AND($C1026="Control",$K1026=1),$L1026,"")</f>
        <v/>
      </c>
      <c r="T1026" s="3" t="n">
        <f aca="false">IF(AND($C1026="Treatment",$K1026=1),$L1026,"")</f>
        <v>1906.23</v>
      </c>
    </row>
    <row r="1027" customFormat="false" ht="15" hidden="false" customHeight="false" outlineLevel="0" collapsed="false">
      <c r="A1027" s="0" t="s">
        <v>1058</v>
      </c>
      <c r="B1027" s="2" t="n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0" t="n">
        <v>1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P1027" s="0" t="n">
        <v>57</v>
      </c>
      <c r="Q1027" s="0" t="str">
        <f aca="false">IF($C1027="Control",$P1027,"")</f>
        <v/>
      </c>
      <c r="R1027" s="3" t="n">
        <f aca="false">IF($C1027="Treatment",$P1027,"")</f>
        <v>57</v>
      </c>
      <c r="S1027" s="0" t="str">
        <f aca="false">IF(AND($C1027="Control",$K1027=1),$L1027,"")</f>
        <v/>
      </c>
      <c r="T1027" s="0" t="str">
        <f aca="false">IF(AND($C1027="Treatment",$K1027=1),$L1027,"")</f>
        <v/>
      </c>
    </row>
    <row r="1028" customFormat="false" ht="15" hidden="false" customHeight="false" outlineLevel="0" collapsed="false">
      <c r="A1028" s="0" t="s">
        <v>1059</v>
      </c>
      <c r="B1028" s="2" t="n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P1028" s="0" t="n">
        <v>46.3</v>
      </c>
      <c r="Q1028" s="0" t="str">
        <f aca="false">IF($C1028="Control",$P1028,"")</f>
        <v/>
      </c>
      <c r="R1028" s="3" t="n">
        <f aca="false">IF($C1028="Treatment",$P1028,"")</f>
        <v>46.3</v>
      </c>
      <c r="S1028" s="0" t="str">
        <f aca="false">IF(AND($C1028="Control",$K1028=1),$L1028,"")</f>
        <v/>
      </c>
      <c r="T1028" s="0" t="str">
        <f aca="false">IF(AND($C1028="Treatment",$K1028=1),$L1028,"")</f>
        <v/>
      </c>
    </row>
    <row r="1029" customFormat="false" ht="15" hidden="false" customHeight="false" outlineLevel="0" collapsed="false">
      <c r="A1029" s="0" t="s">
        <v>1060</v>
      </c>
      <c r="B1029" s="2" t="n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0</v>
      </c>
      <c r="P1029" s="0" t="n">
        <v>64.4</v>
      </c>
      <c r="Q1029" s="0" t="str">
        <f aca="false">IF($C1029="Control",$P1029,"")</f>
        <v/>
      </c>
      <c r="R1029" s="3" t="n">
        <f aca="false">IF($C1029="Treatment",$P1029,"")</f>
        <v>64.4</v>
      </c>
      <c r="S1029" s="0" t="str">
        <f aca="false">IF(AND($C1029="Control",$K1029=1),$L1029,"")</f>
        <v/>
      </c>
      <c r="T1029" s="0" t="str">
        <f aca="false">IF(AND($C1029="Treatment",$K1029=1),$L1029,"")</f>
        <v/>
      </c>
    </row>
    <row r="1030" customFormat="false" ht="15" hidden="false" customHeight="false" outlineLevel="0" collapsed="false">
      <c r="A1030" s="0" t="s">
        <v>1061</v>
      </c>
      <c r="B1030" s="2" t="n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0" t="n">
        <v>1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2</v>
      </c>
      <c r="N1030" s="0" t="n">
        <v>0</v>
      </c>
      <c r="P1030" s="0" t="n">
        <v>61.9</v>
      </c>
      <c r="Q1030" s="0" t="str">
        <f aca="false">IF($C1030="Control",$P1030,"")</f>
        <v/>
      </c>
      <c r="R1030" s="3" t="n">
        <f aca="false">IF($C1030="Treatment",$P1030,"")</f>
        <v>61.9</v>
      </c>
      <c r="S1030" s="0" t="str">
        <f aca="false">IF(AND($C1030="Control",$K1030=1),$L1030,"")</f>
        <v/>
      </c>
      <c r="T1030" s="0" t="str">
        <f aca="false">IF(AND($C1030="Treatment",$K1030=1),$L1030,"")</f>
        <v/>
      </c>
    </row>
    <row r="1031" customFormat="false" ht="15" hidden="false" customHeight="false" outlineLevel="0" collapsed="false">
      <c r="A1031" s="0" t="s">
        <v>1062</v>
      </c>
      <c r="B1031" s="2" t="n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0" t="n">
        <v>1</v>
      </c>
      <c r="I1031" s="0" t="n">
        <v>1</v>
      </c>
      <c r="J1031" s="0" t="n">
        <v>1</v>
      </c>
      <c r="K1031" s="0" t="n">
        <v>0</v>
      </c>
      <c r="L1031" s="0" t="n">
        <v>0</v>
      </c>
      <c r="M1031" s="0" t="n">
        <v>0</v>
      </c>
      <c r="N1031" s="0" t="n">
        <v>0</v>
      </c>
      <c r="P1031" s="0" t="n">
        <v>93.7</v>
      </c>
      <c r="Q1031" s="0" t="str">
        <f aca="false">IF($C1031="Control",$P1031,"")</f>
        <v/>
      </c>
      <c r="R1031" s="3" t="n">
        <f aca="false">IF($C1031="Treatment",$P1031,"")</f>
        <v>93.7</v>
      </c>
      <c r="S1031" s="0" t="str">
        <f aca="false">IF(AND($C1031="Control",$K1031=1),$L1031,"")</f>
        <v/>
      </c>
      <c r="T1031" s="0" t="str">
        <f aca="false">IF(AND($C1031="Treatment",$K1031=1),$L1031,"")</f>
        <v/>
      </c>
    </row>
    <row r="1032" customFormat="false" ht="15" hidden="false" customHeight="false" outlineLevel="0" collapsed="false">
      <c r="A1032" s="0" t="s">
        <v>1063</v>
      </c>
      <c r="B1032" s="2" t="n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P1032" s="0" t="n">
        <v>61.6</v>
      </c>
      <c r="Q1032" s="0" t="str">
        <f aca="false">IF($C1032="Control",$P1032,"")</f>
        <v/>
      </c>
      <c r="R1032" s="3" t="n">
        <f aca="false">IF($C1032="Treatment",$P1032,"")</f>
        <v>61.6</v>
      </c>
      <c r="S1032" s="0" t="str">
        <f aca="false">IF(AND($C1032="Control",$K1032=1),$L1032,"")</f>
        <v/>
      </c>
      <c r="T1032" s="0" t="str">
        <f aca="false">IF(AND($C1032="Treatment",$K1032=1),$L1032,"")</f>
        <v/>
      </c>
    </row>
    <row r="1033" customFormat="false" ht="15" hidden="false" customHeight="false" outlineLevel="0" collapsed="false">
      <c r="A1033" s="0" t="s">
        <v>1064</v>
      </c>
      <c r="B1033" s="2" t="n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0" t="n">
        <v>1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P1033" s="0" t="n">
        <v>72.2</v>
      </c>
      <c r="Q1033" s="0" t="str">
        <f aca="false">IF($C1033="Control",$P1033,"")</f>
        <v/>
      </c>
      <c r="R1033" s="3" t="n">
        <f aca="false">IF($C1033="Treatment",$P1033,"")</f>
        <v>72.2</v>
      </c>
      <c r="S1033" s="0" t="str">
        <f aca="false">IF(AND($C1033="Control",$K1033=1),$L1033,"")</f>
        <v/>
      </c>
      <c r="T1033" s="0" t="str">
        <f aca="false">IF(AND($C1033="Treatment",$K1033=1),$L1033,"")</f>
        <v/>
      </c>
    </row>
    <row r="1034" customFormat="false" ht="15" hidden="false" customHeight="false" outlineLevel="0" collapsed="false">
      <c r="A1034" s="0" t="s">
        <v>1065</v>
      </c>
      <c r="B1034" s="2" t="n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P1034" s="0" t="n">
        <v>69.5</v>
      </c>
      <c r="Q1034" s="0" t="str">
        <f aca="false">IF($C1034="Control",$P1034,"")</f>
        <v/>
      </c>
      <c r="R1034" s="3" t="n">
        <f aca="false">IF($C1034="Treatment",$P1034,"")</f>
        <v>69.5</v>
      </c>
      <c r="S1034" s="0" t="str">
        <f aca="false">IF(AND($C1034="Control",$K1034=1),$L1034,"")</f>
        <v/>
      </c>
      <c r="T1034" s="0" t="str">
        <f aca="false">IF(AND($C1034="Treatment",$K1034=1),$L1034,"")</f>
        <v/>
      </c>
    </row>
    <row r="1035" customFormat="false" ht="15" hidden="false" customHeight="false" outlineLevel="0" collapsed="false">
      <c r="A1035" s="0" t="s">
        <v>1066</v>
      </c>
      <c r="B1035" s="2" t="n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P1035" s="0" t="n">
        <v>59.7</v>
      </c>
      <c r="Q1035" s="0" t="str">
        <f aca="false">IF($C1035="Control",$P1035,"")</f>
        <v/>
      </c>
      <c r="R1035" s="3" t="n">
        <f aca="false">IF($C1035="Treatment",$P1035,"")</f>
        <v>59.7</v>
      </c>
      <c r="S1035" s="0" t="str">
        <f aca="false">IF(AND($C1035="Control",$K1035=1),$L1035,"")</f>
        <v/>
      </c>
      <c r="T1035" s="0" t="str">
        <f aca="false">IF(AND($C1035="Treatment",$K1035=1),$L1035,"")</f>
        <v/>
      </c>
    </row>
    <row r="1036" customFormat="false" ht="15" hidden="false" customHeight="false" outlineLevel="0" collapsed="false">
      <c r="A1036" s="0" t="s">
        <v>1067</v>
      </c>
      <c r="B1036" s="2" t="n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0" t="n">
        <v>1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P1036" s="0" t="n">
        <v>73.9</v>
      </c>
      <c r="Q1036" s="0" t="str">
        <f aca="false">IF($C1036="Control",$P1036,"")</f>
        <v/>
      </c>
      <c r="R1036" s="3" t="n">
        <f aca="false">IF($C1036="Treatment",$P1036,"")</f>
        <v>73.9</v>
      </c>
      <c r="S1036" s="0" t="str">
        <f aca="false">IF(AND($C1036="Control",$K1036=1),$L1036,"")</f>
        <v/>
      </c>
      <c r="T1036" s="0" t="str">
        <f aca="false">IF(AND($C1036="Treatment",$K1036=1),$L1036,"")</f>
        <v/>
      </c>
    </row>
    <row r="1037" customFormat="false" ht="15" hidden="false" customHeight="false" outlineLevel="0" collapsed="false">
      <c r="A1037" s="0" t="s">
        <v>1068</v>
      </c>
      <c r="B1037" s="2" t="n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P1037" s="0" t="n">
        <v>41.5</v>
      </c>
      <c r="Q1037" s="0" t="str">
        <f aca="false">IF($C1037="Control",$P1037,"")</f>
        <v/>
      </c>
      <c r="R1037" s="3" t="n">
        <f aca="false">IF($C1037="Treatment",$P1037,"")</f>
        <v>41.5</v>
      </c>
      <c r="S1037" s="0" t="str">
        <f aca="false">IF(AND($C1037="Control",$K1037=1),$L1037,"")</f>
        <v/>
      </c>
      <c r="T1037" s="0" t="str">
        <f aca="false">IF(AND($C1037="Treatment",$K1037=1),$L1037,"")</f>
        <v/>
      </c>
    </row>
    <row r="1038" customFormat="false" ht="15" hidden="false" customHeight="false" outlineLevel="0" collapsed="false">
      <c r="A1038" s="0" t="s">
        <v>1069</v>
      </c>
      <c r="B1038" s="2" t="n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0" t="n">
        <v>1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P1038" s="0" t="n">
        <v>82.8</v>
      </c>
      <c r="Q1038" s="0" t="str">
        <f aca="false">IF($C1038="Control",$P1038,"")</f>
        <v/>
      </c>
      <c r="R1038" s="3" t="n">
        <f aca="false">IF($C1038="Treatment",$P1038,"")</f>
        <v>82.8</v>
      </c>
      <c r="S1038" s="0" t="str">
        <f aca="false">IF(AND($C1038="Control",$K1038=1),$L1038,"")</f>
        <v/>
      </c>
      <c r="T1038" s="0" t="str">
        <f aca="false">IF(AND($C1038="Treatment",$K1038=1),$L1038,"")</f>
        <v/>
      </c>
    </row>
    <row r="1039" customFormat="false" ht="15" hidden="false" customHeight="false" outlineLevel="0" collapsed="false">
      <c r="A1039" s="0" t="s">
        <v>1070</v>
      </c>
      <c r="B1039" s="2" t="n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0" t="n">
        <v>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3</v>
      </c>
      <c r="N1039" s="0" t="n">
        <v>0</v>
      </c>
      <c r="P1039" s="0" t="n">
        <v>70.2</v>
      </c>
      <c r="Q1039" s="0" t="str">
        <f aca="false">IF($C1039="Control",$P1039,"")</f>
        <v/>
      </c>
      <c r="R1039" s="3" t="n">
        <f aca="false">IF($C1039="Treatment",$P1039,"")</f>
        <v>70.2</v>
      </c>
      <c r="S1039" s="0" t="str">
        <f aca="false">IF(AND($C1039="Control",$K1039=1),$L1039,"")</f>
        <v/>
      </c>
      <c r="T1039" s="0" t="str">
        <f aca="false">IF(AND($C1039="Treatment",$K1039=1),$L1039,"")</f>
        <v/>
      </c>
    </row>
    <row r="1040" customFormat="false" ht="15" hidden="false" customHeight="false" outlineLevel="0" collapsed="false">
      <c r="A1040" s="0" t="s">
        <v>1071</v>
      </c>
      <c r="B1040" s="2" t="n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0" t="n">
        <v>1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0</v>
      </c>
      <c r="P1040" s="0" t="n">
        <v>69.4</v>
      </c>
      <c r="Q1040" s="0" t="str">
        <f aca="false">IF($C1040="Control",$P1040,"")</f>
        <v/>
      </c>
      <c r="R1040" s="3" t="n">
        <f aca="false">IF($C1040="Treatment",$P1040,"")</f>
        <v>69.4</v>
      </c>
      <c r="S1040" s="0" t="str">
        <f aca="false">IF(AND($C1040="Control",$K1040=1),$L1040,"")</f>
        <v/>
      </c>
      <c r="T1040" s="0" t="str">
        <f aca="false">IF(AND($C1040="Treatment",$K1040=1),$L1040,"")</f>
        <v/>
      </c>
    </row>
    <row r="1041" customFormat="false" ht="15" hidden="false" customHeight="false" outlineLevel="0" collapsed="false">
      <c r="A1041" s="0" t="s">
        <v>1072</v>
      </c>
      <c r="B1041" s="2" t="n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0" t="n">
        <v>1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P1041" s="0" t="n">
        <v>60.4</v>
      </c>
      <c r="Q1041" s="0" t="str">
        <f aca="false">IF($C1041="Control",$P1041,"")</f>
        <v/>
      </c>
      <c r="R1041" s="3" t="n">
        <f aca="false">IF($C1041="Treatment",$P1041,"")</f>
        <v>60.4</v>
      </c>
      <c r="S1041" s="0" t="str">
        <f aca="false">IF(AND($C1041="Control",$K1041=1),$L1041,"")</f>
        <v/>
      </c>
      <c r="T1041" s="0" t="str">
        <f aca="false">IF(AND($C1041="Treatment",$K1041=1),$L1041,"")</f>
        <v/>
      </c>
    </row>
    <row r="1042" customFormat="false" ht="15" hidden="false" customHeight="false" outlineLevel="0" collapsed="false">
      <c r="A1042" s="0" t="s">
        <v>1073</v>
      </c>
      <c r="B1042" s="2" t="n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0" t="n">
        <v>1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P1042" s="0" t="n">
        <v>45.7</v>
      </c>
      <c r="Q1042" s="0" t="str">
        <f aca="false">IF($C1042="Control",$P1042,"")</f>
        <v/>
      </c>
      <c r="R1042" s="3" t="n">
        <f aca="false">IF($C1042="Treatment",$P1042,"")</f>
        <v>45.7</v>
      </c>
      <c r="S1042" s="0" t="str">
        <f aca="false">IF(AND($C1042="Control",$K1042=1),$L1042,"")</f>
        <v/>
      </c>
      <c r="T1042" s="0" t="str">
        <f aca="false">IF(AND($C1042="Treatment",$K1042=1),$L1042,"")</f>
        <v/>
      </c>
    </row>
    <row r="1043" customFormat="false" ht="15" hidden="false" customHeight="false" outlineLevel="0" collapsed="false">
      <c r="A1043" s="0" t="s">
        <v>1074</v>
      </c>
      <c r="B1043" s="2" t="n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0</v>
      </c>
      <c r="P1043" s="0" t="n">
        <v>42.2</v>
      </c>
      <c r="Q1043" s="0" t="str">
        <f aca="false">IF($C1043="Control",$P1043,"")</f>
        <v/>
      </c>
      <c r="R1043" s="3" t="n">
        <f aca="false">IF($C1043="Treatment",$P1043,"")</f>
        <v>42.2</v>
      </c>
      <c r="S1043" s="0" t="str">
        <f aca="false">IF(AND($C1043="Control",$K1043=1),$L1043,"")</f>
        <v/>
      </c>
      <c r="T1043" s="0" t="str">
        <f aca="false">IF(AND($C1043="Treatment",$K1043=1),$L1043,"")</f>
        <v/>
      </c>
    </row>
    <row r="1044" customFormat="false" ht="15" hidden="false" customHeight="false" outlineLevel="0" collapsed="false">
      <c r="A1044" s="0" t="s">
        <v>1075</v>
      </c>
      <c r="B1044" s="2" t="n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2</v>
      </c>
      <c r="N1044" s="0" t="n">
        <v>0</v>
      </c>
      <c r="P1044" s="0" t="n">
        <v>61.9</v>
      </c>
      <c r="Q1044" s="0" t="str">
        <f aca="false">IF($C1044="Control",$P1044,"")</f>
        <v/>
      </c>
      <c r="R1044" s="3" t="n">
        <f aca="false">IF($C1044="Treatment",$P1044,"")</f>
        <v>61.9</v>
      </c>
      <c r="S1044" s="0" t="str">
        <f aca="false">IF(AND($C1044="Control",$K1044=1),$L1044,"")</f>
        <v/>
      </c>
      <c r="T1044" s="0" t="str">
        <f aca="false">IF(AND($C1044="Treatment",$K1044=1),$L1044,"")</f>
        <v/>
      </c>
    </row>
    <row r="1045" customFormat="false" ht="15" hidden="false" customHeight="false" outlineLevel="0" collapsed="false">
      <c r="A1045" s="0" t="s">
        <v>1076</v>
      </c>
      <c r="B1045" s="2" t="n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P1045" s="0" t="n">
        <v>44.9</v>
      </c>
      <c r="Q1045" s="0" t="str">
        <f aca="false">IF($C1045="Control",$P1045,"")</f>
        <v/>
      </c>
      <c r="R1045" s="3" t="n">
        <f aca="false">IF($C1045="Treatment",$P1045,"")</f>
        <v>44.9</v>
      </c>
      <c r="S1045" s="0" t="str">
        <f aca="false">IF(AND($C1045="Control",$K1045=1),$L1045,"")</f>
        <v/>
      </c>
      <c r="T1045" s="0" t="str">
        <f aca="false">IF(AND($C1045="Treatment",$K1045=1),$L1045,"")</f>
        <v/>
      </c>
    </row>
    <row r="1046" customFormat="false" ht="15" hidden="false" customHeight="false" outlineLevel="0" collapsed="false">
      <c r="A1046" s="0" t="s">
        <v>1077</v>
      </c>
      <c r="B1046" s="2" t="n">
        <v>45714</v>
      </c>
      <c r="C1046" s="3" t="s">
        <v>723</v>
      </c>
      <c r="D1046" s="3" t="s">
        <v>28</v>
      </c>
      <c r="E1046" s="3" t="s">
        <v>19</v>
      </c>
      <c r="F1046" s="3" t="s">
        <v>1470</v>
      </c>
      <c r="G1046" s="3" t="s">
        <v>21</v>
      </c>
      <c r="H1046" s="0" t="n">
        <v>1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P1046" s="0" t="n">
        <v>68</v>
      </c>
      <c r="Q1046" s="0" t="str">
        <f aca="false">IF($C1046="Control",$P1046,"")</f>
        <v/>
      </c>
      <c r="R1046" s="3" t="n">
        <f aca="false">IF($C1046="Treatment",$P1046,"")</f>
        <v>68</v>
      </c>
      <c r="S1046" s="0" t="str">
        <f aca="false">IF(AND($C1046="Control",$K1046=1),$L1046,"")</f>
        <v/>
      </c>
      <c r="T1046" s="0" t="str">
        <f aca="false">IF(AND($C1046="Treatment",$K1046=1),$L1046,"")</f>
        <v/>
      </c>
    </row>
    <row r="1047" customFormat="false" ht="15" hidden="false" customHeight="false" outlineLevel="0" collapsed="false">
      <c r="A1047" s="0" t="s">
        <v>1078</v>
      </c>
      <c r="B1047" s="2" t="n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0" t="n">
        <v>1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P1047" s="0" t="n">
        <v>61</v>
      </c>
      <c r="Q1047" s="0" t="str">
        <f aca="false">IF($C1047="Control",$P1047,"")</f>
        <v/>
      </c>
      <c r="R1047" s="3" t="n">
        <f aca="false">IF($C1047="Treatment",$P1047,"")</f>
        <v>61</v>
      </c>
      <c r="S1047" s="0" t="str">
        <f aca="false">IF(AND($C1047="Control",$K1047=1),$L1047,"")</f>
        <v/>
      </c>
      <c r="T1047" s="0" t="str">
        <f aca="false">IF(AND($C1047="Treatment",$K1047=1),$L1047,"")</f>
        <v/>
      </c>
    </row>
    <row r="1048" customFormat="false" ht="15" hidden="false" customHeight="false" outlineLevel="0" collapsed="false">
      <c r="A1048" s="0" t="s">
        <v>1079</v>
      </c>
      <c r="B1048" s="2" t="n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0" t="n">
        <v>1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P1048" s="0" t="n">
        <v>55</v>
      </c>
      <c r="Q1048" s="0" t="str">
        <f aca="false">IF($C1048="Control",$P1048,"")</f>
        <v/>
      </c>
      <c r="R1048" s="3" t="n">
        <f aca="false">IF($C1048="Treatment",$P1048,"")</f>
        <v>55</v>
      </c>
      <c r="S1048" s="0" t="str">
        <f aca="false">IF(AND($C1048="Control",$K1048=1),$L1048,"")</f>
        <v/>
      </c>
      <c r="T1048" s="0" t="str">
        <f aca="false">IF(AND($C1048="Treatment",$K1048=1),$L1048,"")</f>
        <v/>
      </c>
    </row>
    <row r="1049" customFormat="false" ht="15" hidden="false" customHeight="false" outlineLevel="0" collapsed="false">
      <c r="A1049" s="0" t="s">
        <v>1080</v>
      </c>
      <c r="B1049" s="2" t="n">
        <v>45708</v>
      </c>
      <c r="C1049" s="3" t="s">
        <v>723</v>
      </c>
      <c r="D1049" s="3" t="s">
        <v>28</v>
      </c>
      <c r="E1049" s="3" t="s">
        <v>1470</v>
      </c>
      <c r="F1049" s="3" t="s">
        <v>29</v>
      </c>
      <c r="G1049" s="3" t="s">
        <v>21</v>
      </c>
      <c r="H1049" s="0" t="n">
        <v>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P1049" s="0" t="n">
        <v>63.1</v>
      </c>
      <c r="Q1049" s="0" t="str">
        <f aca="false">IF($C1049="Control",$P1049,"")</f>
        <v/>
      </c>
      <c r="R1049" s="3" t="n">
        <f aca="false">IF($C1049="Treatment",$P1049,"")</f>
        <v>63.1</v>
      </c>
      <c r="S1049" s="0" t="str">
        <f aca="false">IF(AND($C1049="Control",$K1049=1),$L1049,"")</f>
        <v/>
      </c>
      <c r="T1049" s="0" t="str">
        <f aca="false">IF(AND($C1049="Treatment",$K1049=1),$L1049,"")</f>
        <v/>
      </c>
    </row>
    <row r="1050" customFormat="false" ht="15" hidden="false" customHeight="false" outlineLevel="0" collapsed="false">
      <c r="A1050" s="0" t="s">
        <v>1081</v>
      </c>
      <c r="B1050" s="2" t="n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0" t="n">
        <v>1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P1050" s="0" t="n">
        <v>75.8</v>
      </c>
      <c r="Q1050" s="0" t="str">
        <f aca="false">IF($C1050="Control",$P1050,"")</f>
        <v/>
      </c>
      <c r="R1050" s="3" t="n">
        <f aca="false">IF($C1050="Treatment",$P1050,"")</f>
        <v>75.8</v>
      </c>
      <c r="S1050" s="0" t="str">
        <f aca="false">IF(AND($C1050="Control",$K1050=1),$L1050,"")</f>
        <v/>
      </c>
      <c r="T1050" s="0" t="str">
        <f aca="false">IF(AND($C1050="Treatment",$K1050=1),$L1050,"")</f>
        <v/>
      </c>
    </row>
    <row r="1051" customFormat="false" ht="15" hidden="false" customHeight="false" outlineLevel="0" collapsed="false">
      <c r="A1051" s="0" t="s">
        <v>1082</v>
      </c>
      <c r="B1051" s="2" t="n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0" t="n">
        <v>1</v>
      </c>
      <c r="I1051" s="0" t="n">
        <v>1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0</v>
      </c>
      <c r="P1051" s="0" t="n">
        <v>43.8</v>
      </c>
      <c r="Q1051" s="0" t="str">
        <f aca="false">IF($C1051="Control",$P1051,"")</f>
        <v/>
      </c>
      <c r="R1051" s="3" t="n">
        <f aca="false">IF($C1051="Treatment",$P1051,"")</f>
        <v>43.8</v>
      </c>
      <c r="S1051" s="0" t="str">
        <f aca="false">IF(AND($C1051="Control",$K1051=1),$L1051,"")</f>
        <v/>
      </c>
      <c r="T1051" s="0" t="str">
        <f aca="false">IF(AND($C1051="Treatment",$K1051=1),$L1051,"")</f>
        <v/>
      </c>
    </row>
    <row r="1052" customFormat="false" ht="15" hidden="false" customHeight="false" outlineLevel="0" collapsed="false">
      <c r="A1052" s="0" t="s">
        <v>1083</v>
      </c>
      <c r="B1052" s="2" t="n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0" t="n">
        <v>1</v>
      </c>
      <c r="I1052" s="0" t="n">
        <v>1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P1052" s="0" t="n">
        <v>46.8</v>
      </c>
      <c r="Q1052" s="0" t="str">
        <f aca="false">IF($C1052="Control",$P1052,"")</f>
        <v/>
      </c>
      <c r="R1052" s="3" t="n">
        <f aca="false">IF($C1052="Treatment",$P1052,"")</f>
        <v>46.8</v>
      </c>
      <c r="S1052" s="0" t="str">
        <f aca="false">IF(AND($C1052="Control",$K1052=1),$L1052,"")</f>
        <v/>
      </c>
      <c r="T1052" s="0" t="str">
        <f aca="false">IF(AND($C1052="Treatment",$K1052=1),$L1052,"")</f>
        <v/>
      </c>
    </row>
    <row r="1053" customFormat="false" ht="15" hidden="false" customHeight="false" outlineLevel="0" collapsed="false">
      <c r="A1053" s="0" t="s">
        <v>1084</v>
      </c>
      <c r="B1053" s="2" t="n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0" t="n">
        <v>1</v>
      </c>
      <c r="I1053" s="0" t="n">
        <v>1</v>
      </c>
      <c r="J1053" s="0" t="n">
        <v>1</v>
      </c>
      <c r="K1053" s="0" t="n">
        <v>0</v>
      </c>
      <c r="L1053" s="0" t="n">
        <v>0</v>
      </c>
      <c r="M1053" s="0" t="n">
        <v>0</v>
      </c>
      <c r="N1053" s="0" t="n">
        <v>0</v>
      </c>
      <c r="P1053" s="0" t="n">
        <v>97.4</v>
      </c>
      <c r="Q1053" s="0" t="str">
        <f aca="false">IF($C1053="Control",$P1053,"")</f>
        <v/>
      </c>
      <c r="R1053" s="3" t="n">
        <f aca="false">IF($C1053="Treatment",$P1053,"")</f>
        <v>97.4</v>
      </c>
      <c r="S1053" s="0" t="str">
        <f aca="false">IF(AND($C1053="Control",$K1053=1),$L1053,"")</f>
        <v/>
      </c>
      <c r="T1053" s="0" t="str">
        <f aca="false">IF(AND($C1053="Treatment",$K1053=1),$L1053,"")</f>
        <v/>
      </c>
    </row>
    <row r="1054" customFormat="false" ht="15" hidden="false" customHeight="false" outlineLevel="0" collapsed="false">
      <c r="A1054" s="0" t="s">
        <v>1085</v>
      </c>
      <c r="B1054" s="2" t="n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0" t="n">
        <v>1</v>
      </c>
      <c r="I1054" s="0" t="n">
        <v>1</v>
      </c>
      <c r="J1054" s="0" t="n">
        <v>1</v>
      </c>
      <c r="K1054" s="0" t="n">
        <v>1</v>
      </c>
      <c r="L1054" s="0" t="n">
        <v>268.96</v>
      </c>
      <c r="M1054" s="0" t="n">
        <v>0</v>
      </c>
      <c r="N1054" s="0" t="n">
        <v>0</v>
      </c>
      <c r="O1054" s="0" t="n">
        <v>14</v>
      </c>
      <c r="P1054" s="0" t="n">
        <v>81</v>
      </c>
      <c r="Q1054" s="0" t="str">
        <f aca="false">IF($C1054="Control",$P1054,"")</f>
        <v/>
      </c>
      <c r="R1054" s="3" t="n">
        <f aca="false">IF($C1054="Treatment",$P1054,"")</f>
        <v>81</v>
      </c>
      <c r="S1054" s="0" t="str">
        <f aca="false">IF(AND($C1054="Control",$K1054=1),$L1054,"")</f>
        <v/>
      </c>
      <c r="T1054" s="3" t="n">
        <f aca="false">IF(AND($C1054="Treatment",$K1054=1),$L1054,"")</f>
        <v>268.96</v>
      </c>
    </row>
    <row r="1055" customFormat="false" ht="15" hidden="false" customHeight="false" outlineLevel="0" collapsed="false">
      <c r="A1055" s="0" t="s">
        <v>1086</v>
      </c>
      <c r="B1055" s="2" t="n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0" t="n">
        <v>1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0</v>
      </c>
      <c r="P1055" s="0" t="n">
        <v>58.9</v>
      </c>
      <c r="Q1055" s="0" t="str">
        <f aca="false">IF($C1055="Control",$P1055,"")</f>
        <v/>
      </c>
      <c r="R1055" s="3" t="n">
        <f aca="false">IF($C1055="Treatment",$P1055,"")</f>
        <v>58.9</v>
      </c>
      <c r="S1055" s="0" t="str">
        <f aca="false">IF(AND($C1055="Control",$K1055=1),$L1055,"")</f>
        <v/>
      </c>
      <c r="T1055" s="0" t="str">
        <f aca="false">IF(AND($C1055="Treatment",$K1055=1),$L1055,"")</f>
        <v/>
      </c>
    </row>
    <row r="1056" customFormat="false" ht="15" hidden="false" customHeight="false" outlineLevel="0" collapsed="false">
      <c r="A1056" s="0" t="s">
        <v>1087</v>
      </c>
      <c r="B1056" s="2" t="n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0" t="n">
        <v>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P1056" s="0" t="n">
        <v>51.9</v>
      </c>
      <c r="Q1056" s="0" t="str">
        <f aca="false">IF($C1056="Control",$P1056,"")</f>
        <v/>
      </c>
      <c r="R1056" s="3" t="n">
        <f aca="false">IF($C1056="Treatment",$P1056,"")</f>
        <v>51.9</v>
      </c>
      <c r="S1056" s="0" t="str">
        <f aca="false">IF(AND($C1056="Control",$K1056=1),$L1056,"")</f>
        <v/>
      </c>
      <c r="T1056" s="0" t="str">
        <f aca="false">IF(AND($C1056="Treatment",$K1056=1),$L1056,"")</f>
        <v/>
      </c>
    </row>
    <row r="1057" customFormat="false" ht="15" hidden="false" customHeight="false" outlineLevel="0" collapsed="false">
      <c r="A1057" s="0" t="s">
        <v>1088</v>
      </c>
      <c r="B1057" s="2" t="n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0" t="n">
        <v>1</v>
      </c>
      <c r="I1057" s="0" t="n">
        <v>1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P1057" s="0" t="n">
        <v>61.7</v>
      </c>
      <c r="Q1057" s="0" t="str">
        <f aca="false">IF($C1057="Control",$P1057,"")</f>
        <v/>
      </c>
      <c r="R1057" s="3" t="n">
        <f aca="false">IF($C1057="Treatment",$P1057,"")</f>
        <v>61.7</v>
      </c>
      <c r="S1057" s="0" t="str">
        <f aca="false">IF(AND($C1057="Control",$K1057=1),$L1057,"")</f>
        <v/>
      </c>
      <c r="T1057" s="0" t="str">
        <f aca="false">IF(AND($C1057="Treatment",$K1057=1),$L1057,"")</f>
        <v/>
      </c>
    </row>
    <row r="1058" customFormat="false" ht="15" hidden="false" customHeight="false" outlineLevel="0" collapsed="false">
      <c r="A1058" s="0" t="s">
        <v>1089</v>
      </c>
      <c r="B1058" s="2" t="n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0" t="n">
        <v>1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P1058" s="0" t="n">
        <v>44.7</v>
      </c>
      <c r="Q1058" s="0" t="str">
        <f aca="false">IF($C1058="Control",$P1058,"")</f>
        <v/>
      </c>
      <c r="R1058" s="3" t="n">
        <f aca="false">IF($C1058="Treatment",$P1058,"")</f>
        <v>44.7</v>
      </c>
      <c r="S1058" s="0" t="str">
        <f aca="false">IF(AND($C1058="Control",$K1058=1),$L1058,"")</f>
        <v/>
      </c>
      <c r="T1058" s="0" t="str">
        <f aca="false">IF(AND($C1058="Treatment",$K1058=1),$L1058,"")</f>
        <v/>
      </c>
    </row>
    <row r="1059" customFormat="false" ht="15" hidden="false" customHeight="false" outlineLevel="0" collapsed="false">
      <c r="A1059" s="0" t="s">
        <v>1090</v>
      </c>
      <c r="B1059" s="2" t="n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P1059" s="0" t="n">
        <v>63.2</v>
      </c>
      <c r="Q1059" s="0" t="str">
        <f aca="false">IF($C1059="Control",$P1059,"")</f>
        <v/>
      </c>
      <c r="R1059" s="3" t="n">
        <f aca="false">IF($C1059="Treatment",$P1059,"")</f>
        <v>63.2</v>
      </c>
      <c r="S1059" s="0" t="str">
        <f aca="false">IF(AND($C1059="Control",$K1059=1),$L1059,"")</f>
        <v/>
      </c>
      <c r="T1059" s="0" t="str">
        <f aca="false">IF(AND($C1059="Treatment",$K1059=1),$L1059,"")</f>
        <v/>
      </c>
    </row>
    <row r="1060" customFormat="false" ht="15" hidden="false" customHeight="false" outlineLevel="0" collapsed="false">
      <c r="A1060" s="0" t="s">
        <v>1091</v>
      </c>
      <c r="B1060" s="2" t="n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0" t="n">
        <v>1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P1060" s="0" t="n">
        <v>70.3</v>
      </c>
      <c r="Q1060" s="0" t="str">
        <f aca="false">IF($C1060="Control",$P1060,"")</f>
        <v/>
      </c>
      <c r="R1060" s="3" t="n">
        <f aca="false">IF($C1060="Treatment",$P1060,"")</f>
        <v>70.3</v>
      </c>
      <c r="S1060" s="0" t="str">
        <f aca="false">IF(AND($C1060="Control",$K1060=1),$L1060,"")</f>
        <v/>
      </c>
      <c r="T1060" s="0" t="str">
        <f aca="false">IF(AND($C1060="Treatment",$K1060=1),$L1060,"")</f>
        <v/>
      </c>
    </row>
    <row r="1061" customFormat="false" ht="15" hidden="false" customHeight="false" outlineLevel="0" collapsed="false">
      <c r="A1061" s="0" t="s">
        <v>1092</v>
      </c>
      <c r="B1061" s="2" t="n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0" t="n">
        <v>1</v>
      </c>
      <c r="I1061" s="0" t="n">
        <v>1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0</v>
      </c>
      <c r="P1061" s="0" t="n">
        <v>83.1</v>
      </c>
      <c r="Q1061" s="0" t="str">
        <f aca="false">IF($C1061="Control",$P1061,"")</f>
        <v/>
      </c>
      <c r="R1061" s="3" t="n">
        <f aca="false">IF($C1061="Treatment",$P1061,"")</f>
        <v>83.1</v>
      </c>
      <c r="S1061" s="0" t="str">
        <f aca="false">IF(AND($C1061="Control",$K1061=1),$L1061,"")</f>
        <v/>
      </c>
      <c r="T1061" s="0" t="str">
        <f aca="false">IF(AND($C1061="Treatment",$K1061=1),$L1061,"")</f>
        <v/>
      </c>
    </row>
    <row r="1062" customFormat="false" ht="15" hidden="false" customHeight="false" outlineLevel="0" collapsed="false">
      <c r="A1062" s="0" t="s">
        <v>1093</v>
      </c>
      <c r="B1062" s="2" t="n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P1062" s="0" t="n">
        <v>50.3</v>
      </c>
      <c r="Q1062" s="0" t="str">
        <f aca="false">IF($C1062="Control",$P1062,"")</f>
        <v/>
      </c>
      <c r="R1062" s="3" t="n">
        <f aca="false">IF($C1062="Treatment",$P1062,"")</f>
        <v>50.3</v>
      </c>
      <c r="S1062" s="0" t="str">
        <f aca="false">IF(AND($C1062="Control",$K1062=1),$L1062,"")</f>
        <v/>
      </c>
      <c r="T1062" s="0" t="str">
        <f aca="false">IF(AND($C1062="Treatment",$K1062=1),$L1062,"")</f>
        <v/>
      </c>
    </row>
    <row r="1063" customFormat="false" ht="15" hidden="false" customHeight="false" outlineLevel="0" collapsed="false">
      <c r="A1063" s="0" t="s">
        <v>1094</v>
      </c>
      <c r="B1063" s="2" t="n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0" t="n">
        <v>1</v>
      </c>
      <c r="I1063" s="0" t="n">
        <v>1</v>
      </c>
      <c r="J1063" s="0" t="n">
        <v>1</v>
      </c>
      <c r="K1063" s="0" t="n">
        <v>1</v>
      </c>
      <c r="L1063" s="0" t="n">
        <v>437.09</v>
      </c>
      <c r="M1063" s="0" t="n">
        <v>2</v>
      </c>
      <c r="N1063" s="0" t="n">
        <v>1</v>
      </c>
      <c r="O1063" s="0" t="n">
        <v>1</v>
      </c>
      <c r="P1063" s="0" t="n">
        <v>58.2</v>
      </c>
      <c r="Q1063" s="0" t="str">
        <f aca="false">IF($C1063="Control",$P1063,"")</f>
        <v/>
      </c>
      <c r="R1063" s="3" t="n">
        <f aca="false">IF($C1063="Treatment",$P1063,"")</f>
        <v>58.2</v>
      </c>
      <c r="S1063" s="0" t="str">
        <f aca="false">IF(AND($C1063="Control",$K1063=1),$L1063,"")</f>
        <v/>
      </c>
      <c r="T1063" s="3" t="n">
        <f aca="false">IF(AND($C1063="Treatment",$K1063=1),$L1063,"")</f>
        <v>437.09</v>
      </c>
    </row>
    <row r="1064" customFormat="false" ht="15" hidden="false" customHeight="false" outlineLevel="0" collapsed="false">
      <c r="A1064" s="0" t="s">
        <v>1095</v>
      </c>
      <c r="B1064" s="2" t="n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0" t="n">
        <v>1</v>
      </c>
      <c r="I1064" s="0" t="n">
        <v>1</v>
      </c>
      <c r="J1064" s="0" t="n">
        <v>1</v>
      </c>
      <c r="K1064" s="0" t="n">
        <v>0</v>
      </c>
      <c r="L1064" s="0" t="n">
        <v>0</v>
      </c>
      <c r="M1064" s="0" t="n">
        <v>0</v>
      </c>
      <c r="N1064" s="0" t="n">
        <v>0</v>
      </c>
      <c r="P1064" s="0" t="n">
        <v>53.2</v>
      </c>
      <c r="Q1064" s="0" t="str">
        <f aca="false">IF($C1064="Control",$P1064,"")</f>
        <v/>
      </c>
      <c r="R1064" s="3" t="n">
        <f aca="false">IF($C1064="Treatment",$P1064,"")</f>
        <v>53.2</v>
      </c>
      <c r="S1064" s="0" t="str">
        <f aca="false">IF(AND($C1064="Control",$K1064=1),$L1064,"")</f>
        <v/>
      </c>
      <c r="T1064" s="0" t="str">
        <f aca="false">IF(AND($C1064="Treatment",$K1064=1),$L1064,"")</f>
        <v/>
      </c>
    </row>
    <row r="1065" customFormat="false" ht="15" hidden="false" customHeight="false" outlineLevel="0" collapsed="false">
      <c r="A1065" s="0" t="s">
        <v>1096</v>
      </c>
      <c r="B1065" s="2" t="n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P1065" s="0" t="n">
        <v>36.4</v>
      </c>
      <c r="Q1065" s="0" t="str">
        <f aca="false">IF($C1065="Control",$P1065,"")</f>
        <v/>
      </c>
      <c r="R1065" s="3" t="n">
        <f aca="false">IF($C1065="Treatment",$P1065,"")</f>
        <v>36.4</v>
      </c>
      <c r="S1065" s="0" t="str">
        <f aca="false">IF(AND($C1065="Control",$K1065=1),$L1065,"")</f>
        <v/>
      </c>
      <c r="T1065" s="0" t="str">
        <f aca="false">IF(AND($C1065="Treatment",$K1065=1),$L1065,"")</f>
        <v/>
      </c>
    </row>
    <row r="1066" customFormat="false" ht="15" hidden="false" customHeight="false" outlineLevel="0" collapsed="false">
      <c r="A1066" s="0" t="s">
        <v>1097</v>
      </c>
      <c r="B1066" s="2" t="n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0" t="n">
        <v>1</v>
      </c>
      <c r="I1066" s="0" t="n">
        <v>1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0</v>
      </c>
      <c r="P1066" s="0" t="n">
        <v>72.7</v>
      </c>
      <c r="Q1066" s="0" t="str">
        <f aca="false">IF($C1066="Control",$P1066,"")</f>
        <v/>
      </c>
      <c r="R1066" s="3" t="n">
        <f aca="false">IF($C1066="Treatment",$P1066,"")</f>
        <v>72.7</v>
      </c>
      <c r="S1066" s="0" t="str">
        <f aca="false">IF(AND($C1066="Control",$K1066=1),$L1066,"")</f>
        <v/>
      </c>
      <c r="T1066" s="0" t="str">
        <f aca="false">IF(AND($C1066="Treatment",$K1066=1),$L1066,"")</f>
        <v/>
      </c>
    </row>
    <row r="1067" customFormat="false" ht="15" hidden="false" customHeight="false" outlineLevel="0" collapsed="false">
      <c r="A1067" s="0" t="s">
        <v>1098</v>
      </c>
      <c r="B1067" s="2" t="n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0" t="n">
        <v>1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0</v>
      </c>
      <c r="P1067" s="0" t="n">
        <v>86.7</v>
      </c>
      <c r="Q1067" s="0" t="str">
        <f aca="false">IF($C1067="Control",$P1067,"")</f>
        <v/>
      </c>
      <c r="R1067" s="3" t="n">
        <f aca="false">IF($C1067="Treatment",$P1067,"")</f>
        <v>86.7</v>
      </c>
      <c r="S1067" s="0" t="str">
        <f aca="false">IF(AND($C1067="Control",$K1067=1),$L1067,"")</f>
        <v/>
      </c>
      <c r="T1067" s="0" t="str">
        <f aca="false">IF(AND($C1067="Treatment",$K1067=1),$L1067,"")</f>
        <v/>
      </c>
    </row>
    <row r="1068" customFormat="false" ht="15" hidden="false" customHeight="false" outlineLevel="0" collapsed="false">
      <c r="A1068" s="0" t="s">
        <v>1099</v>
      </c>
      <c r="B1068" s="2" t="n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0" t="n">
        <v>1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P1068" s="0" t="n">
        <v>48.2</v>
      </c>
      <c r="Q1068" s="0" t="str">
        <f aca="false">IF($C1068="Control",$P1068,"")</f>
        <v/>
      </c>
      <c r="R1068" s="3" t="n">
        <f aca="false">IF($C1068="Treatment",$P1068,"")</f>
        <v>48.2</v>
      </c>
      <c r="S1068" s="0" t="str">
        <f aca="false">IF(AND($C1068="Control",$K1068=1),$L1068,"")</f>
        <v/>
      </c>
      <c r="T1068" s="0" t="str">
        <f aca="false">IF(AND($C1068="Treatment",$K1068=1),$L1068,"")</f>
        <v/>
      </c>
    </row>
    <row r="1069" customFormat="false" ht="15" hidden="false" customHeight="false" outlineLevel="0" collapsed="false">
      <c r="A1069" s="0" t="s">
        <v>1100</v>
      </c>
      <c r="B1069" s="2" t="n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0</v>
      </c>
      <c r="P1069" s="0" t="n">
        <v>57.6</v>
      </c>
      <c r="Q1069" s="0" t="str">
        <f aca="false">IF($C1069="Control",$P1069,"")</f>
        <v/>
      </c>
      <c r="R1069" s="3" t="n">
        <f aca="false">IF($C1069="Treatment",$P1069,"")</f>
        <v>57.6</v>
      </c>
      <c r="S1069" s="0" t="str">
        <f aca="false">IF(AND($C1069="Control",$K1069=1),$L1069,"")</f>
        <v/>
      </c>
      <c r="T1069" s="0" t="str">
        <f aca="false">IF(AND($C1069="Treatment",$K1069=1),$L1069,"")</f>
        <v/>
      </c>
    </row>
    <row r="1070" customFormat="false" ht="15" hidden="false" customHeight="false" outlineLevel="0" collapsed="false">
      <c r="A1070" s="0" t="s">
        <v>1101</v>
      </c>
      <c r="B1070" s="2" t="n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0" t="n">
        <v>1</v>
      </c>
      <c r="I1070" s="0" t="n">
        <v>1</v>
      </c>
      <c r="J1070" s="0" t="n">
        <v>1</v>
      </c>
      <c r="K1070" s="0" t="n">
        <v>0</v>
      </c>
      <c r="L1070" s="0" t="n">
        <v>0</v>
      </c>
      <c r="M1070" s="0" t="n">
        <v>0</v>
      </c>
      <c r="N1070" s="0" t="n">
        <v>0</v>
      </c>
      <c r="P1070" s="0" t="n">
        <v>75.7</v>
      </c>
      <c r="Q1070" s="0" t="str">
        <f aca="false">IF($C1070="Control",$P1070,"")</f>
        <v/>
      </c>
      <c r="R1070" s="3" t="n">
        <f aca="false">IF($C1070="Treatment",$P1070,"")</f>
        <v>75.7</v>
      </c>
      <c r="S1070" s="0" t="str">
        <f aca="false">IF(AND($C1070="Control",$K1070=1),$L1070,"")</f>
        <v/>
      </c>
      <c r="T1070" s="0" t="str">
        <f aca="false">IF(AND($C1070="Treatment",$K1070=1),$L1070,"")</f>
        <v/>
      </c>
    </row>
    <row r="1071" customFormat="false" ht="15" hidden="false" customHeight="false" outlineLevel="0" collapsed="false">
      <c r="A1071" s="0" t="s">
        <v>1102</v>
      </c>
      <c r="B1071" s="2" t="n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0" t="n">
        <v>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2</v>
      </c>
      <c r="N1071" s="0" t="n">
        <v>0</v>
      </c>
      <c r="P1071" s="0" t="n">
        <v>48.6</v>
      </c>
      <c r="Q1071" s="0" t="str">
        <f aca="false">IF($C1071="Control",$P1071,"")</f>
        <v/>
      </c>
      <c r="R1071" s="3" t="n">
        <f aca="false">IF($C1071="Treatment",$P1071,"")</f>
        <v>48.6</v>
      </c>
      <c r="S1071" s="0" t="str">
        <f aca="false">IF(AND($C1071="Control",$K1071=1),$L1071,"")</f>
        <v/>
      </c>
      <c r="T1071" s="0" t="str">
        <f aca="false">IF(AND($C1071="Treatment",$K1071=1),$L1071,"")</f>
        <v/>
      </c>
    </row>
    <row r="1072" customFormat="false" ht="15" hidden="false" customHeight="false" outlineLevel="0" collapsed="false">
      <c r="A1072" s="0" t="s">
        <v>1103</v>
      </c>
      <c r="B1072" s="2" t="n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0" t="n">
        <v>1</v>
      </c>
      <c r="I1072" s="0" t="n">
        <v>1</v>
      </c>
      <c r="J1072" s="0" t="n">
        <v>1</v>
      </c>
      <c r="K1072" s="0" t="n">
        <v>0</v>
      </c>
      <c r="L1072" s="0" t="n">
        <v>0</v>
      </c>
      <c r="M1072" s="0" t="n">
        <v>0</v>
      </c>
      <c r="N1072" s="0" t="n">
        <v>0</v>
      </c>
      <c r="P1072" s="0" t="n">
        <v>72</v>
      </c>
      <c r="Q1072" s="0" t="str">
        <f aca="false">IF($C1072="Control",$P1072,"")</f>
        <v/>
      </c>
      <c r="R1072" s="3" t="n">
        <f aca="false">IF($C1072="Treatment",$P1072,"")</f>
        <v>72</v>
      </c>
      <c r="S1072" s="0" t="str">
        <f aca="false">IF(AND($C1072="Control",$K1072=1),$L1072,"")</f>
        <v/>
      </c>
      <c r="T1072" s="0" t="str">
        <f aca="false">IF(AND($C1072="Treatment",$K1072=1),$L1072,"")</f>
        <v/>
      </c>
    </row>
    <row r="1073" customFormat="false" ht="15" hidden="false" customHeight="false" outlineLevel="0" collapsed="false">
      <c r="A1073" s="0" t="s">
        <v>1104</v>
      </c>
      <c r="B1073" s="2" t="n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P1073" s="0" t="n">
        <v>72.2</v>
      </c>
      <c r="Q1073" s="0" t="str">
        <f aca="false">IF($C1073="Control",$P1073,"")</f>
        <v/>
      </c>
      <c r="R1073" s="3" t="n">
        <f aca="false">IF($C1073="Treatment",$P1073,"")</f>
        <v>72.2</v>
      </c>
      <c r="S1073" s="0" t="str">
        <f aca="false">IF(AND($C1073="Control",$K1073=1),$L1073,"")</f>
        <v/>
      </c>
      <c r="T1073" s="0" t="str">
        <f aca="false">IF(AND($C1073="Treatment",$K1073=1),$L1073,"")</f>
        <v/>
      </c>
    </row>
    <row r="1074" customFormat="false" ht="15" hidden="false" customHeight="false" outlineLevel="0" collapsed="false">
      <c r="A1074" s="0" t="s">
        <v>1105</v>
      </c>
      <c r="B1074" s="2" t="n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0" t="n">
        <v>1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1</v>
      </c>
      <c r="N1074" s="0" t="n">
        <v>0</v>
      </c>
      <c r="Q1074" s="0" t="str">
        <f aca="false">IF($C1074="Control",$P1074,"")</f>
        <v/>
      </c>
      <c r="R1074" s="3" t="n">
        <f aca="false">IF($C1074="Treatment",$P1074,"")</f>
        <v>0</v>
      </c>
      <c r="S1074" s="0" t="str">
        <f aca="false">IF(AND($C1074="Control",$K1074=1),$L1074,"")</f>
        <v/>
      </c>
      <c r="T1074" s="0" t="str">
        <f aca="false">IF(AND($C1074="Treatment",$K1074=1),$L1074,"")</f>
        <v/>
      </c>
    </row>
    <row r="1075" customFormat="false" ht="15" hidden="false" customHeight="false" outlineLevel="0" collapsed="false">
      <c r="A1075" s="0" t="s">
        <v>1106</v>
      </c>
      <c r="B1075" s="2" t="n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0" t="n">
        <v>1</v>
      </c>
      <c r="I1075" s="0" t="n">
        <v>1</v>
      </c>
      <c r="J1075" s="0" t="n">
        <v>1</v>
      </c>
      <c r="K1075" s="0" t="n">
        <v>1</v>
      </c>
      <c r="L1075" s="0" t="n">
        <v>331.53</v>
      </c>
      <c r="M1075" s="0" t="n">
        <v>2</v>
      </c>
      <c r="N1075" s="0" t="n">
        <v>0</v>
      </c>
      <c r="O1075" s="0" t="n">
        <v>4</v>
      </c>
      <c r="P1075" s="0" t="n">
        <v>56.8</v>
      </c>
      <c r="Q1075" s="0" t="str">
        <f aca="false">IF($C1075="Control",$P1075,"")</f>
        <v/>
      </c>
      <c r="R1075" s="3" t="n">
        <f aca="false">IF($C1075="Treatment",$P1075,"")</f>
        <v>56.8</v>
      </c>
      <c r="S1075" s="0" t="str">
        <f aca="false">IF(AND($C1075="Control",$K1075=1),$L1075,"")</f>
        <v/>
      </c>
      <c r="T1075" s="3" t="n">
        <f aca="false">IF(AND($C1075="Treatment",$K1075=1),$L1075,"")</f>
        <v>331.53</v>
      </c>
    </row>
    <row r="1076" customFormat="false" ht="15" hidden="false" customHeight="false" outlineLevel="0" collapsed="false">
      <c r="A1076" s="0" t="s">
        <v>1107</v>
      </c>
      <c r="B1076" s="2" t="n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0" t="n">
        <v>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P1076" s="0" t="n">
        <v>62.5</v>
      </c>
      <c r="Q1076" s="0" t="str">
        <f aca="false">IF($C1076="Control",$P1076,"")</f>
        <v/>
      </c>
      <c r="R1076" s="3" t="n">
        <f aca="false">IF($C1076="Treatment",$P1076,"")</f>
        <v>62.5</v>
      </c>
      <c r="S1076" s="0" t="str">
        <f aca="false">IF(AND($C1076="Control",$K1076=1),$L1076,"")</f>
        <v/>
      </c>
      <c r="T1076" s="0" t="str">
        <f aca="false">IF(AND($C1076="Treatment",$K1076=1),$L1076,"")</f>
        <v/>
      </c>
    </row>
    <row r="1077" customFormat="false" ht="15" hidden="false" customHeight="false" outlineLevel="0" collapsed="false">
      <c r="A1077" s="0" t="s">
        <v>1108</v>
      </c>
      <c r="B1077" s="2" t="n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0" t="n">
        <v>1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P1077" s="0" t="n">
        <v>63.4</v>
      </c>
      <c r="Q1077" s="0" t="str">
        <f aca="false">IF($C1077="Control",$P1077,"")</f>
        <v/>
      </c>
      <c r="R1077" s="3" t="n">
        <f aca="false">IF($C1077="Treatment",$P1077,"")</f>
        <v>63.4</v>
      </c>
      <c r="S1077" s="0" t="str">
        <f aca="false">IF(AND($C1077="Control",$K1077=1),$L1077,"")</f>
        <v/>
      </c>
      <c r="T1077" s="0" t="str">
        <f aca="false">IF(AND($C1077="Treatment",$K1077=1),$L1077,"")</f>
        <v/>
      </c>
    </row>
    <row r="1078" customFormat="false" ht="15" hidden="false" customHeight="false" outlineLevel="0" collapsed="false">
      <c r="A1078" s="0" t="s">
        <v>1109</v>
      </c>
      <c r="B1078" s="2" t="n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0" t="n">
        <v>1</v>
      </c>
      <c r="I1078" s="0" t="n">
        <v>1</v>
      </c>
      <c r="J1078" s="0" t="n">
        <v>1</v>
      </c>
      <c r="K1078" s="0" t="n">
        <v>1</v>
      </c>
      <c r="L1078" s="0" t="n">
        <v>774.78</v>
      </c>
      <c r="M1078" s="0" t="n">
        <v>0</v>
      </c>
      <c r="N1078" s="0" t="n">
        <v>0</v>
      </c>
      <c r="O1078" s="0" t="n">
        <v>3</v>
      </c>
      <c r="P1078" s="0" t="n">
        <v>46.8</v>
      </c>
      <c r="Q1078" s="0" t="str">
        <f aca="false">IF($C1078="Control",$P1078,"")</f>
        <v/>
      </c>
      <c r="R1078" s="3" t="n">
        <f aca="false">IF($C1078="Treatment",$P1078,"")</f>
        <v>46.8</v>
      </c>
      <c r="S1078" s="0" t="str">
        <f aca="false">IF(AND($C1078="Control",$K1078=1),$L1078,"")</f>
        <v/>
      </c>
      <c r="T1078" s="3" t="n">
        <f aca="false">IF(AND($C1078="Treatment",$K1078=1),$L1078,"")</f>
        <v>774.78</v>
      </c>
    </row>
    <row r="1079" customFormat="false" ht="15" hidden="false" customHeight="false" outlineLevel="0" collapsed="false">
      <c r="A1079" s="0" t="s">
        <v>1110</v>
      </c>
      <c r="B1079" s="2" t="n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0" t="n">
        <v>1</v>
      </c>
      <c r="I1079" s="0" t="n">
        <v>1</v>
      </c>
      <c r="J1079" s="0" t="n">
        <v>1</v>
      </c>
      <c r="K1079" s="0" t="n">
        <v>1</v>
      </c>
      <c r="L1079" s="0" t="n">
        <v>422.02</v>
      </c>
      <c r="M1079" s="0" t="n">
        <v>0</v>
      </c>
      <c r="N1079" s="0" t="n">
        <v>0</v>
      </c>
      <c r="O1079" s="0" t="n">
        <v>8</v>
      </c>
      <c r="P1079" s="0" t="n">
        <v>86.5</v>
      </c>
      <c r="Q1079" s="0" t="str">
        <f aca="false">IF($C1079="Control",$P1079,"")</f>
        <v/>
      </c>
      <c r="R1079" s="3" t="n">
        <f aca="false">IF($C1079="Treatment",$P1079,"")</f>
        <v>86.5</v>
      </c>
      <c r="S1079" s="0" t="str">
        <f aca="false">IF(AND($C1079="Control",$K1079=1),$L1079,"")</f>
        <v/>
      </c>
      <c r="T1079" s="3" t="n">
        <f aca="false">IF(AND($C1079="Treatment",$K1079=1),$L1079,"")</f>
        <v>422.02</v>
      </c>
    </row>
    <row r="1080" customFormat="false" ht="15" hidden="false" customHeight="false" outlineLevel="0" collapsed="false">
      <c r="A1080" s="0" t="s">
        <v>1111</v>
      </c>
      <c r="B1080" s="2" t="n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0</v>
      </c>
      <c r="P1080" s="0" t="n">
        <v>75.1</v>
      </c>
      <c r="Q1080" s="0" t="str">
        <f aca="false">IF($C1080="Control",$P1080,"")</f>
        <v/>
      </c>
      <c r="R1080" s="3" t="n">
        <f aca="false">IF($C1080="Treatment",$P1080,"")</f>
        <v>75.1</v>
      </c>
      <c r="S1080" s="0" t="str">
        <f aca="false">IF(AND($C1080="Control",$K1080=1),$L1080,"")</f>
        <v/>
      </c>
      <c r="T1080" s="0" t="str">
        <f aca="false">IF(AND($C1080="Treatment",$K1080=1),$L1080,"")</f>
        <v/>
      </c>
    </row>
    <row r="1081" customFormat="false" ht="15" hidden="false" customHeight="false" outlineLevel="0" collapsed="false">
      <c r="A1081" s="0" t="s">
        <v>1112</v>
      </c>
      <c r="B1081" s="2" t="n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0" t="n">
        <v>1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P1081" s="0" t="n">
        <v>64.5</v>
      </c>
      <c r="Q1081" s="0" t="str">
        <f aca="false">IF($C1081="Control",$P1081,"")</f>
        <v/>
      </c>
      <c r="R1081" s="3" t="n">
        <f aca="false">IF($C1081="Treatment",$P1081,"")</f>
        <v>64.5</v>
      </c>
      <c r="S1081" s="0" t="str">
        <f aca="false">IF(AND($C1081="Control",$K1081=1),$L1081,"")</f>
        <v/>
      </c>
      <c r="T1081" s="0" t="str">
        <f aca="false">IF(AND($C1081="Treatment",$K1081=1),$L1081,"")</f>
        <v/>
      </c>
    </row>
    <row r="1082" customFormat="false" ht="15" hidden="false" customHeight="false" outlineLevel="0" collapsed="false">
      <c r="A1082" s="0" t="s">
        <v>1113</v>
      </c>
      <c r="B1082" s="2" t="n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0" t="n">
        <v>1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P1082" s="0" t="n">
        <v>54.2</v>
      </c>
      <c r="Q1082" s="0" t="str">
        <f aca="false">IF($C1082="Control",$P1082,"")</f>
        <v/>
      </c>
      <c r="R1082" s="3" t="n">
        <f aca="false">IF($C1082="Treatment",$P1082,"")</f>
        <v>54.2</v>
      </c>
      <c r="S1082" s="0" t="str">
        <f aca="false">IF(AND($C1082="Control",$K1082=1),$L1082,"")</f>
        <v/>
      </c>
      <c r="T1082" s="0" t="str">
        <f aca="false">IF(AND($C1082="Treatment",$K1082=1),$L1082,"")</f>
        <v/>
      </c>
    </row>
    <row r="1083" customFormat="false" ht="15" hidden="false" customHeight="false" outlineLevel="0" collapsed="false">
      <c r="A1083" s="0" t="s">
        <v>1114</v>
      </c>
      <c r="B1083" s="2" t="n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0" t="n">
        <v>1</v>
      </c>
      <c r="I1083" s="0" t="n">
        <v>1</v>
      </c>
      <c r="J1083" s="0" t="n">
        <v>1</v>
      </c>
      <c r="K1083" s="0" t="n">
        <v>0</v>
      </c>
      <c r="L1083" s="0" t="n">
        <v>0</v>
      </c>
      <c r="M1083" s="0" t="n">
        <v>0</v>
      </c>
      <c r="N1083" s="0" t="n">
        <v>0</v>
      </c>
      <c r="P1083" s="0" t="n">
        <v>84.1</v>
      </c>
      <c r="Q1083" s="0" t="str">
        <f aca="false">IF($C1083="Control",$P1083,"")</f>
        <v/>
      </c>
      <c r="R1083" s="3" t="n">
        <f aca="false">IF($C1083="Treatment",$P1083,"")</f>
        <v>84.1</v>
      </c>
      <c r="S1083" s="0" t="str">
        <f aca="false">IF(AND($C1083="Control",$K1083=1),$L1083,"")</f>
        <v/>
      </c>
      <c r="T1083" s="0" t="str">
        <f aca="false">IF(AND($C1083="Treatment",$K1083=1),$L1083,"")</f>
        <v/>
      </c>
    </row>
    <row r="1084" customFormat="false" ht="15" hidden="false" customHeight="false" outlineLevel="0" collapsed="false">
      <c r="A1084" s="0" t="s">
        <v>1115</v>
      </c>
      <c r="B1084" s="2" t="n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0</v>
      </c>
      <c r="P1084" s="0" t="n">
        <v>49.1</v>
      </c>
      <c r="Q1084" s="0" t="str">
        <f aca="false">IF($C1084="Control",$P1084,"")</f>
        <v/>
      </c>
      <c r="R1084" s="3" t="n">
        <f aca="false">IF($C1084="Treatment",$P1084,"")</f>
        <v>49.1</v>
      </c>
      <c r="S1084" s="0" t="str">
        <f aca="false">IF(AND($C1084="Control",$K1084=1),$L1084,"")</f>
        <v/>
      </c>
      <c r="T1084" s="0" t="str">
        <f aca="false">IF(AND($C1084="Treatment",$K1084=1),$L1084,"")</f>
        <v/>
      </c>
    </row>
    <row r="1085" customFormat="false" ht="15" hidden="false" customHeight="false" outlineLevel="0" collapsed="false">
      <c r="A1085" s="0" t="s">
        <v>1116</v>
      </c>
      <c r="B1085" s="2" t="n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P1085" s="0" t="n">
        <v>92.7</v>
      </c>
      <c r="Q1085" s="0" t="str">
        <f aca="false">IF($C1085="Control",$P1085,"")</f>
        <v/>
      </c>
      <c r="R1085" s="3" t="n">
        <f aca="false">IF($C1085="Treatment",$P1085,"")</f>
        <v>92.7</v>
      </c>
      <c r="S1085" s="0" t="str">
        <f aca="false">IF(AND($C1085="Control",$K1085=1),$L1085,"")</f>
        <v/>
      </c>
      <c r="T1085" s="0" t="str">
        <f aca="false">IF(AND($C1085="Treatment",$K1085=1),$L1085,"")</f>
        <v/>
      </c>
    </row>
    <row r="1086" customFormat="false" ht="15" hidden="false" customHeight="false" outlineLevel="0" collapsed="false">
      <c r="A1086" s="0" t="s">
        <v>1117</v>
      </c>
      <c r="B1086" s="2" t="n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0" t="n">
        <v>1</v>
      </c>
      <c r="I1086" s="0" t="n">
        <v>1</v>
      </c>
      <c r="J1086" s="0" t="n">
        <v>1</v>
      </c>
      <c r="K1086" s="0" t="n">
        <v>0</v>
      </c>
      <c r="L1086" s="0" t="n">
        <v>0</v>
      </c>
      <c r="M1086" s="0" t="n">
        <v>1</v>
      </c>
      <c r="N1086" s="0" t="n">
        <v>0</v>
      </c>
      <c r="P1086" s="0" t="n">
        <v>58.7</v>
      </c>
      <c r="Q1086" s="0" t="str">
        <f aca="false">IF($C1086="Control",$P1086,"")</f>
        <v/>
      </c>
      <c r="R1086" s="3" t="n">
        <f aca="false">IF($C1086="Treatment",$P1086,"")</f>
        <v>58.7</v>
      </c>
      <c r="S1086" s="0" t="str">
        <f aca="false">IF(AND($C1086="Control",$K1086=1),$L1086,"")</f>
        <v/>
      </c>
      <c r="T1086" s="0" t="str">
        <f aca="false">IF(AND($C1086="Treatment",$K1086=1),$L1086,"")</f>
        <v/>
      </c>
    </row>
    <row r="1087" customFormat="false" ht="15" hidden="false" customHeight="false" outlineLevel="0" collapsed="false">
      <c r="A1087" s="0" t="s">
        <v>1118</v>
      </c>
      <c r="B1087" s="2" t="n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0" t="n">
        <v>1</v>
      </c>
      <c r="I1087" s="0" t="n">
        <v>1</v>
      </c>
      <c r="J1087" s="0" t="n">
        <v>1</v>
      </c>
      <c r="K1087" s="0" t="n">
        <v>0</v>
      </c>
      <c r="L1087" s="0" t="n">
        <v>0</v>
      </c>
      <c r="M1087" s="0" t="n">
        <v>0</v>
      </c>
      <c r="N1087" s="0" t="n">
        <v>0</v>
      </c>
      <c r="P1087" s="0" t="n">
        <v>59.3</v>
      </c>
      <c r="Q1087" s="0" t="str">
        <f aca="false">IF($C1087="Control",$P1087,"")</f>
        <v/>
      </c>
      <c r="R1087" s="3" t="n">
        <f aca="false">IF($C1087="Treatment",$P1087,"")</f>
        <v>59.3</v>
      </c>
      <c r="S1087" s="0" t="str">
        <f aca="false">IF(AND($C1087="Control",$K1087=1),$L1087,"")</f>
        <v/>
      </c>
      <c r="T1087" s="0" t="str">
        <f aca="false">IF(AND($C1087="Treatment",$K1087=1),$L1087,"")</f>
        <v/>
      </c>
    </row>
    <row r="1088" customFormat="false" ht="15" hidden="false" customHeight="false" outlineLevel="0" collapsed="false">
      <c r="A1088" s="0" t="s">
        <v>1119</v>
      </c>
      <c r="B1088" s="2" t="n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0" t="n">
        <v>1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P1088" s="0" t="n">
        <v>62</v>
      </c>
      <c r="Q1088" s="0" t="str">
        <f aca="false">IF($C1088="Control",$P1088,"")</f>
        <v/>
      </c>
      <c r="R1088" s="3" t="n">
        <f aca="false">IF($C1088="Treatment",$P1088,"")</f>
        <v>62</v>
      </c>
      <c r="S1088" s="0" t="str">
        <f aca="false">IF(AND($C1088="Control",$K1088=1),$L1088,"")</f>
        <v/>
      </c>
      <c r="T1088" s="0" t="str">
        <f aca="false">IF(AND($C1088="Treatment",$K1088=1),$L1088,"")</f>
        <v/>
      </c>
    </row>
    <row r="1089" customFormat="false" ht="15" hidden="false" customHeight="false" outlineLevel="0" collapsed="false">
      <c r="A1089" s="0" t="s">
        <v>1120</v>
      </c>
      <c r="B1089" s="2" t="n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0" t="n">
        <v>1</v>
      </c>
      <c r="I1089" s="0" t="n">
        <v>1</v>
      </c>
      <c r="J1089" s="0" t="n">
        <v>1</v>
      </c>
      <c r="K1089" s="0" t="n">
        <v>0</v>
      </c>
      <c r="L1089" s="0" t="n">
        <v>0</v>
      </c>
      <c r="M1089" s="0" t="n">
        <v>1</v>
      </c>
      <c r="N1089" s="0" t="n">
        <v>0</v>
      </c>
      <c r="P1089" s="0" t="n">
        <v>60.3</v>
      </c>
      <c r="Q1089" s="0" t="str">
        <f aca="false">IF($C1089="Control",$P1089,"")</f>
        <v/>
      </c>
      <c r="R1089" s="3" t="n">
        <f aca="false">IF($C1089="Treatment",$P1089,"")</f>
        <v>60.3</v>
      </c>
      <c r="S1089" s="0" t="str">
        <f aca="false">IF(AND($C1089="Control",$K1089=1),$L1089,"")</f>
        <v/>
      </c>
      <c r="T1089" s="0" t="str">
        <f aca="false">IF(AND($C1089="Treatment",$K1089=1),$L1089,"")</f>
        <v/>
      </c>
    </row>
    <row r="1090" customFormat="false" ht="15" hidden="false" customHeight="false" outlineLevel="0" collapsed="false">
      <c r="A1090" s="0" t="s">
        <v>1121</v>
      </c>
      <c r="B1090" s="2" t="n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0" t="n">
        <v>1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P1090" s="0" t="n">
        <v>70.5</v>
      </c>
      <c r="Q1090" s="0" t="str">
        <f aca="false">IF($C1090="Control",$P1090,"")</f>
        <v/>
      </c>
      <c r="R1090" s="3" t="n">
        <f aca="false">IF($C1090="Treatment",$P1090,"")</f>
        <v>70.5</v>
      </c>
      <c r="S1090" s="0" t="str">
        <f aca="false">IF(AND($C1090="Control",$K1090=1),$L1090,"")</f>
        <v/>
      </c>
      <c r="T1090" s="0" t="str">
        <f aca="false">IF(AND($C1090="Treatment",$K1090=1),$L1090,"")</f>
        <v/>
      </c>
    </row>
    <row r="1091" customFormat="false" ht="15" hidden="false" customHeight="false" outlineLevel="0" collapsed="false">
      <c r="A1091" s="0" t="s">
        <v>1122</v>
      </c>
      <c r="B1091" s="2" t="n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0" t="n">
        <v>1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P1091" s="0" t="n">
        <v>36.8</v>
      </c>
      <c r="Q1091" s="0" t="str">
        <f aca="false">IF($C1091="Control",$P1091,"")</f>
        <v/>
      </c>
      <c r="R1091" s="3" t="n">
        <f aca="false">IF($C1091="Treatment",$P1091,"")</f>
        <v>36.8</v>
      </c>
      <c r="S1091" s="0" t="str">
        <f aca="false">IF(AND($C1091="Control",$K1091=1),$L1091,"")</f>
        <v/>
      </c>
      <c r="T1091" s="0" t="str">
        <f aca="false">IF(AND($C1091="Treatment",$K1091=1),$L1091,"")</f>
        <v/>
      </c>
    </row>
    <row r="1092" customFormat="false" ht="15" hidden="false" customHeight="false" outlineLevel="0" collapsed="false">
      <c r="A1092" s="0" t="s">
        <v>1123</v>
      </c>
      <c r="B1092" s="2" t="n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0</v>
      </c>
      <c r="P1092" s="0" t="n">
        <v>73.2</v>
      </c>
      <c r="Q1092" s="0" t="str">
        <f aca="false">IF($C1092="Control",$P1092,"")</f>
        <v/>
      </c>
      <c r="R1092" s="3" t="n">
        <f aca="false">IF($C1092="Treatment",$P1092,"")</f>
        <v>73.2</v>
      </c>
      <c r="S1092" s="0" t="str">
        <f aca="false">IF(AND($C1092="Control",$K1092=1),$L1092,"")</f>
        <v/>
      </c>
      <c r="T1092" s="0" t="str">
        <f aca="false">IF(AND($C1092="Treatment",$K1092=1),$L1092,"")</f>
        <v/>
      </c>
    </row>
    <row r="1093" customFormat="false" ht="15" hidden="false" customHeight="false" outlineLevel="0" collapsed="false">
      <c r="A1093" s="0" t="s">
        <v>1124</v>
      </c>
      <c r="B1093" s="2" t="n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P1093" s="0" t="n">
        <v>70.1</v>
      </c>
      <c r="Q1093" s="0" t="str">
        <f aca="false">IF($C1093="Control",$P1093,"")</f>
        <v/>
      </c>
      <c r="R1093" s="3" t="n">
        <f aca="false">IF($C1093="Treatment",$P1093,"")</f>
        <v>70.1</v>
      </c>
      <c r="S1093" s="0" t="str">
        <f aca="false">IF(AND($C1093="Control",$K1093=1),$L1093,"")</f>
        <v/>
      </c>
      <c r="T1093" s="0" t="str">
        <f aca="false">IF(AND($C1093="Treatment",$K1093=1),$L1093,"")</f>
        <v/>
      </c>
    </row>
    <row r="1094" customFormat="false" ht="15" hidden="false" customHeight="false" outlineLevel="0" collapsed="false">
      <c r="A1094" s="0" t="s">
        <v>1125</v>
      </c>
      <c r="B1094" s="2" t="n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0" t="n">
        <v>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P1094" s="0" t="n">
        <v>76.4</v>
      </c>
      <c r="Q1094" s="0" t="str">
        <f aca="false">IF($C1094="Control",$P1094,"")</f>
        <v/>
      </c>
      <c r="R1094" s="3" t="n">
        <f aca="false">IF($C1094="Treatment",$P1094,"")</f>
        <v>76.4</v>
      </c>
      <c r="S1094" s="0" t="str">
        <f aca="false">IF(AND($C1094="Control",$K1094=1),$L1094,"")</f>
        <v/>
      </c>
      <c r="T1094" s="0" t="str">
        <f aca="false">IF(AND($C1094="Treatment",$K1094=1),$L1094,"")</f>
        <v/>
      </c>
    </row>
    <row r="1095" customFormat="false" ht="15" hidden="false" customHeight="false" outlineLevel="0" collapsed="false">
      <c r="A1095" s="0" t="s">
        <v>1126</v>
      </c>
      <c r="B1095" s="2" t="n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P1095" s="0" t="n">
        <v>46.4</v>
      </c>
      <c r="Q1095" s="0" t="str">
        <f aca="false">IF($C1095="Control",$P1095,"")</f>
        <v/>
      </c>
      <c r="R1095" s="3" t="n">
        <f aca="false">IF($C1095="Treatment",$P1095,"")</f>
        <v>46.4</v>
      </c>
      <c r="S1095" s="0" t="str">
        <f aca="false">IF(AND($C1095="Control",$K1095=1),$L1095,"")</f>
        <v/>
      </c>
      <c r="T1095" s="0" t="str">
        <f aca="false">IF(AND($C1095="Treatment",$K1095=1),$L1095,"")</f>
        <v/>
      </c>
    </row>
    <row r="1096" customFormat="false" ht="15" hidden="false" customHeight="false" outlineLevel="0" collapsed="false">
      <c r="A1096" s="0" t="s">
        <v>1127</v>
      </c>
      <c r="B1096" s="2" t="n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0" t="n">
        <v>1</v>
      </c>
      <c r="I1096" s="0" t="n">
        <v>1</v>
      </c>
      <c r="J1096" s="0" t="n">
        <v>1</v>
      </c>
      <c r="K1096" s="0" t="n">
        <v>0</v>
      </c>
      <c r="L1096" s="0" t="n">
        <v>0</v>
      </c>
      <c r="M1096" s="0" t="n">
        <v>1</v>
      </c>
      <c r="N1096" s="0" t="n">
        <v>0</v>
      </c>
      <c r="P1096" s="0" t="n">
        <v>81.3</v>
      </c>
      <c r="Q1096" s="0" t="str">
        <f aca="false">IF($C1096="Control",$P1096,"")</f>
        <v/>
      </c>
      <c r="R1096" s="3" t="n">
        <f aca="false">IF($C1096="Treatment",$P1096,"")</f>
        <v>81.3</v>
      </c>
      <c r="S1096" s="0" t="str">
        <f aca="false">IF(AND($C1096="Control",$K1096=1),$L1096,"")</f>
        <v/>
      </c>
      <c r="T1096" s="0" t="str">
        <f aca="false">IF(AND($C1096="Treatment",$K1096=1),$L1096,"")</f>
        <v/>
      </c>
    </row>
    <row r="1097" customFormat="false" ht="15" hidden="false" customHeight="false" outlineLevel="0" collapsed="false">
      <c r="A1097" s="0" t="s">
        <v>1128</v>
      </c>
      <c r="B1097" s="2" t="n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0" t="n">
        <v>1</v>
      </c>
      <c r="I1097" s="0" t="n">
        <v>1</v>
      </c>
      <c r="J1097" s="0" t="n">
        <v>1</v>
      </c>
      <c r="K1097" s="0" t="n">
        <v>0</v>
      </c>
      <c r="L1097" s="0" t="n">
        <v>0</v>
      </c>
      <c r="M1097" s="0" t="n">
        <v>0</v>
      </c>
      <c r="N1097" s="0" t="n">
        <v>0</v>
      </c>
      <c r="P1097" s="0" t="n">
        <v>55.3</v>
      </c>
      <c r="Q1097" s="0" t="str">
        <f aca="false">IF($C1097="Control",$P1097,"")</f>
        <v/>
      </c>
      <c r="R1097" s="3" t="n">
        <f aca="false">IF($C1097="Treatment",$P1097,"")</f>
        <v>55.3</v>
      </c>
      <c r="S1097" s="0" t="str">
        <f aca="false">IF(AND($C1097="Control",$K1097=1),$L1097,"")</f>
        <v/>
      </c>
      <c r="T1097" s="0" t="str">
        <f aca="false">IF(AND($C1097="Treatment",$K1097=1),$L1097,"")</f>
        <v/>
      </c>
    </row>
    <row r="1098" customFormat="false" ht="15" hidden="false" customHeight="false" outlineLevel="0" collapsed="false">
      <c r="A1098" s="0" t="s">
        <v>1129</v>
      </c>
      <c r="B1098" s="2" t="n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0" t="n">
        <v>1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P1098" s="0" t="n">
        <v>44.7</v>
      </c>
      <c r="Q1098" s="0" t="str">
        <f aca="false">IF($C1098="Control",$P1098,"")</f>
        <v/>
      </c>
      <c r="R1098" s="3" t="n">
        <f aca="false">IF($C1098="Treatment",$P1098,"")</f>
        <v>44.7</v>
      </c>
      <c r="S1098" s="0" t="str">
        <f aca="false">IF(AND($C1098="Control",$K1098=1),$L1098,"")</f>
        <v/>
      </c>
      <c r="T1098" s="0" t="str">
        <f aca="false">IF(AND($C1098="Treatment",$K1098=1),$L1098,"")</f>
        <v/>
      </c>
    </row>
    <row r="1099" customFormat="false" ht="15" hidden="false" customHeight="false" outlineLevel="0" collapsed="false">
      <c r="A1099" s="0" t="s">
        <v>1130</v>
      </c>
      <c r="B1099" s="2" t="n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0" t="n">
        <v>1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P1099" s="0" t="n">
        <v>67.2</v>
      </c>
      <c r="Q1099" s="0" t="str">
        <f aca="false">IF($C1099="Control",$P1099,"")</f>
        <v/>
      </c>
      <c r="R1099" s="3" t="n">
        <f aca="false">IF($C1099="Treatment",$P1099,"")</f>
        <v>67.2</v>
      </c>
      <c r="S1099" s="0" t="str">
        <f aca="false">IF(AND($C1099="Control",$K1099=1),$L1099,"")</f>
        <v/>
      </c>
      <c r="T1099" s="0" t="str">
        <f aca="false">IF(AND($C1099="Treatment",$K1099=1),$L1099,"")</f>
        <v/>
      </c>
    </row>
    <row r="1100" customFormat="false" ht="15" hidden="false" customHeight="false" outlineLevel="0" collapsed="false">
      <c r="A1100" s="0" t="s">
        <v>1131</v>
      </c>
      <c r="B1100" s="2" t="n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0" t="n">
        <v>1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  <c r="Q1100" s="0" t="str">
        <f aca="false">IF($C1100="Control",$P1100,"")</f>
        <v/>
      </c>
      <c r="R1100" s="3" t="n">
        <f aca="false">IF($C1100="Treatment",$P1100,"")</f>
        <v>0</v>
      </c>
      <c r="S1100" s="0" t="str">
        <f aca="false">IF(AND($C1100="Control",$K1100=1),$L1100,"")</f>
        <v/>
      </c>
      <c r="T1100" s="0" t="str">
        <f aca="false">IF(AND($C1100="Treatment",$K1100=1),$L1100,"")</f>
        <v/>
      </c>
    </row>
    <row r="1101" customFormat="false" ht="15" hidden="false" customHeight="false" outlineLevel="0" collapsed="false">
      <c r="A1101" s="0" t="s">
        <v>1132</v>
      </c>
      <c r="B1101" s="2" t="n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0" t="n">
        <v>1</v>
      </c>
      <c r="I1101" s="0" t="n">
        <v>1</v>
      </c>
      <c r="J1101" s="0" t="n">
        <v>1</v>
      </c>
      <c r="K1101" s="0" t="n">
        <v>0</v>
      </c>
      <c r="L1101" s="0" t="n">
        <v>0</v>
      </c>
      <c r="M1101" s="0" t="n">
        <v>1</v>
      </c>
      <c r="N1101" s="0" t="n">
        <v>0</v>
      </c>
      <c r="P1101" s="0" t="n">
        <v>70.8</v>
      </c>
      <c r="Q1101" s="0" t="str">
        <f aca="false">IF($C1101="Control",$P1101,"")</f>
        <v/>
      </c>
      <c r="R1101" s="3" t="n">
        <f aca="false">IF($C1101="Treatment",$P1101,"")</f>
        <v>70.8</v>
      </c>
      <c r="S1101" s="0" t="str">
        <f aca="false">IF(AND($C1101="Control",$K1101=1),$L1101,"")</f>
        <v/>
      </c>
      <c r="T1101" s="0" t="str">
        <f aca="false">IF(AND($C1101="Treatment",$K1101=1),$L1101,"")</f>
        <v/>
      </c>
    </row>
    <row r="1102" customFormat="false" ht="15" hidden="false" customHeight="false" outlineLevel="0" collapsed="false">
      <c r="A1102" s="0" t="s">
        <v>1133</v>
      </c>
      <c r="B1102" s="2" t="n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0" t="n">
        <v>1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P1102" s="0" t="n">
        <v>71.3</v>
      </c>
      <c r="Q1102" s="0" t="str">
        <f aca="false">IF($C1102="Control",$P1102,"")</f>
        <v/>
      </c>
      <c r="R1102" s="3" t="n">
        <f aca="false">IF($C1102="Treatment",$P1102,"")</f>
        <v>71.3</v>
      </c>
      <c r="S1102" s="0" t="str">
        <f aca="false">IF(AND($C1102="Control",$K1102=1),$L1102,"")</f>
        <v/>
      </c>
      <c r="T1102" s="0" t="str">
        <f aca="false">IF(AND($C1102="Treatment",$K1102=1),$L1102,"")</f>
        <v/>
      </c>
    </row>
    <row r="1103" customFormat="false" ht="15" hidden="false" customHeight="false" outlineLevel="0" collapsed="false">
      <c r="A1103" s="0" t="s">
        <v>1134</v>
      </c>
      <c r="B1103" s="2" t="n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0" t="n">
        <v>1</v>
      </c>
      <c r="I1103" s="0" t="n">
        <v>1</v>
      </c>
      <c r="J1103" s="0" t="n">
        <v>1</v>
      </c>
      <c r="K1103" s="0" t="n">
        <v>0</v>
      </c>
      <c r="L1103" s="0" t="n">
        <v>0</v>
      </c>
      <c r="M1103" s="0" t="n">
        <v>0</v>
      </c>
      <c r="N1103" s="0" t="n">
        <v>0</v>
      </c>
      <c r="P1103" s="0" t="n">
        <v>69.4</v>
      </c>
      <c r="Q1103" s="0" t="str">
        <f aca="false">IF($C1103="Control",$P1103,"")</f>
        <v/>
      </c>
      <c r="R1103" s="3" t="n">
        <f aca="false">IF($C1103="Treatment",$P1103,"")</f>
        <v>69.4</v>
      </c>
      <c r="S1103" s="0" t="str">
        <f aca="false">IF(AND($C1103="Control",$K1103=1),$L1103,"")</f>
        <v/>
      </c>
      <c r="T1103" s="0" t="str">
        <f aca="false">IF(AND($C1103="Treatment",$K1103=1),$L1103,"")</f>
        <v/>
      </c>
    </row>
    <row r="1104" customFormat="false" ht="15" hidden="false" customHeight="false" outlineLevel="0" collapsed="false">
      <c r="A1104" s="0" t="s">
        <v>1135</v>
      </c>
      <c r="B1104" s="2" t="n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0" t="n">
        <v>1</v>
      </c>
      <c r="I1104" s="0" t="n">
        <v>1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P1104" s="0" t="n">
        <v>58.9</v>
      </c>
      <c r="Q1104" s="0" t="str">
        <f aca="false">IF($C1104="Control",$P1104,"")</f>
        <v/>
      </c>
      <c r="R1104" s="3" t="n">
        <f aca="false">IF($C1104="Treatment",$P1104,"")</f>
        <v>58.9</v>
      </c>
      <c r="S1104" s="0" t="str">
        <f aca="false">IF(AND($C1104="Control",$K1104=1),$L1104,"")</f>
        <v/>
      </c>
      <c r="T1104" s="0" t="str">
        <f aca="false">IF(AND($C1104="Treatment",$K1104=1),$L1104,"")</f>
        <v/>
      </c>
    </row>
    <row r="1105" customFormat="false" ht="15" hidden="false" customHeight="false" outlineLevel="0" collapsed="false">
      <c r="A1105" s="0" t="s">
        <v>1136</v>
      </c>
      <c r="B1105" s="2" t="n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P1105" s="0" t="n">
        <v>70.7</v>
      </c>
      <c r="Q1105" s="0" t="str">
        <f aca="false">IF($C1105="Control",$P1105,"")</f>
        <v/>
      </c>
      <c r="R1105" s="3" t="n">
        <f aca="false">IF($C1105="Treatment",$P1105,"")</f>
        <v>70.7</v>
      </c>
      <c r="S1105" s="0" t="str">
        <f aca="false">IF(AND($C1105="Control",$K1105=1),$L1105,"")</f>
        <v/>
      </c>
      <c r="T1105" s="0" t="str">
        <f aca="false">IF(AND($C1105="Treatment",$K1105=1),$L1105,"")</f>
        <v/>
      </c>
    </row>
    <row r="1106" customFormat="false" ht="15" hidden="false" customHeight="false" outlineLevel="0" collapsed="false">
      <c r="A1106" s="0" t="s">
        <v>1137</v>
      </c>
      <c r="B1106" s="2" t="n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0" t="n">
        <v>1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P1106" s="0" t="n">
        <v>60.5</v>
      </c>
      <c r="Q1106" s="0" t="str">
        <f aca="false">IF($C1106="Control",$P1106,"")</f>
        <v/>
      </c>
      <c r="R1106" s="3" t="n">
        <f aca="false">IF($C1106="Treatment",$P1106,"")</f>
        <v>60.5</v>
      </c>
      <c r="S1106" s="0" t="str">
        <f aca="false">IF(AND($C1106="Control",$K1106=1),$L1106,"")</f>
        <v/>
      </c>
      <c r="T1106" s="0" t="str">
        <f aca="false">IF(AND($C1106="Treatment",$K1106=1),$L1106,"")</f>
        <v/>
      </c>
    </row>
    <row r="1107" customFormat="false" ht="15" hidden="false" customHeight="false" outlineLevel="0" collapsed="false">
      <c r="A1107" s="0" t="s">
        <v>1138</v>
      </c>
      <c r="B1107" s="2" t="n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0" t="n">
        <v>1</v>
      </c>
      <c r="I1107" s="0" t="n">
        <v>1</v>
      </c>
      <c r="J1107" s="0" t="n">
        <v>1</v>
      </c>
      <c r="K1107" s="0" t="n">
        <v>0</v>
      </c>
      <c r="L1107" s="0" t="n">
        <v>0</v>
      </c>
      <c r="M1107" s="0" t="n">
        <v>0</v>
      </c>
      <c r="N1107" s="0" t="n">
        <v>0</v>
      </c>
      <c r="P1107" s="0" t="n">
        <v>77.3</v>
      </c>
      <c r="Q1107" s="0" t="str">
        <f aca="false">IF($C1107="Control",$P1107,"")</f>
        <v/>
      </c>
      <c r="R1107" s="3" t="n">
        <f aca="false">IF($C1107="Treatment",$P1107,"")</f>
        <v>77.3</v>
      </c>
      <c r="S1107" s="0" t="str">
        <f aca="false">IF(AND($C1107="Control",$K1107=1),$L1107,"")</f>
        <v/>
      </c>
      <c r="T1107" s="0" t="str">
        <f aca="false">IF(AND($C1107="Treatment",$K1107=1),$L1107,"")</f>
        <v/>
      </c>
    </row>
    <row r="1108" customFormat="false" ht="15" hidden="false" customHeight="false" outlineLevel="0" collapsed="false">
      <c r="A1108" s="0" t="s">
        <v>1139</v>
      </c>
      <c r="B1108" s="2" t="n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0</v>
      </c>
      <c r="P1108" s="0" t="n">
        <v>39.5</v>
      </c>
      <c r="Q1108" s="0" t="str">
        <f aca="false">IF($C1108="Control",$P1108,"")</f>
        <v/>
      </c>
      <c r="R1108" s="3" t="n">
        <f aca="false">IF($C1108="Treatment",$P1108,"")</f>
        <v>39.5</v>
      </c>
      <c r="S1108" s="0" t="str">
        <f aca="false">IF(AND($C1108="Control",$K1108=1),$L1108,"")</f>
        <v/>
      </c>
      <c r="T1108" s="0" t="str">
        <f aca="false">IF(AND($C1108="Treatment",$K1108=1),$L1108,"")</f>
        <v/>
      </c>
    </row>
    <row r="1109" customFormat="false" ht="15" hidden="false" customHeight="false" outlineLevel="0" collapsed="false">
      <c r="A1109" s="0" t="s">
        <v>1140</v>
      </c>
      <c r="B1109" s="2" t="n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0" t="n">
        <v>1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P1109" s="0" t="n">
        <v>68.1</v>
      </c>
      <c r="Q1109" s="0" t="str">
        <f aca="false">IF($C1109="Control",$P1109,"")</f>
        <v/>
      </c>
      <c r="R1109" s="3" t="n">
        <f aca="false">IF($C1109="Treatment",$P1109,"")</f>
        <v>68.1</v>
      </c>
      <c r="S1109" s="0" t="str">
        <f aca="false">IF(AND($C1109="Control",$K1109=1),$L1109,"")</f>
        <v/>
      </c>
      <c r="T1109" s="0" t="str">
        <f aca="false">IF(AND($C1109="Treatment",$K1109=1),$L1109,"")</f>
        <v/>
      </c>
    </row>
    <row r="1110" customFormat="false" ht="15" hidden="false" customHeight="false" outlineLevel="0" collapsed="false">
      <c r="A1110" s="0" t="s">
        <v>1141</v>
      </c>
      <c r="B1110" s="2" t="n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P1110" s="0" t="n">
        <v>80.3</v>
      </c>
      <c r="Q1110" s="0" t="str">
        <f aca="false">IF($C1110="Control",$P1110,"")</f>
        <v/>
      </c>
      <c r="R1110" s="3" t="n">
        <f aca="false">IF($C1110="Treatment",$P1110,"")</f>
        <v>80.3</v>
      </c>
      <c r="S1110" s="0" t="str">
        <f aca="false">IF(AND($C1110="Control",$K1110=1),$L1110,"")</f>
        <v/>
      </c>
      <c r="T1110" s="0" t="str">
        <f aca="false">IF(AND($C1110="Treatment",$K1110=1),$L1110,"")</f>
        <v/>
      </c>
    </row>
    <row r="1111" customFormat="false" ht="15" hidden="false" customHeight="false" outlineLevel="0" collapsed="false">
      <c r="A1111" s="0" t="s">
        <v>1142</v>
      </c>
      <c r="B1111" s="2" t="n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0" t="n">
        <v>1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P1111" s="0" t="n">
        <v>77.7</v>
      </c>
      <c r="Q1111" s="0" t="str">
        <f aca="false">IF($C1111="Control",$P1111,"")</f>
        <v/>
      </c>
      <c r="R1111" s="3" t="n">
        <f aca="false">IF($C1111="Treatment",$P1111,"")</f>
        <v>77.7</v>
      </c>
      <c r="S1111" s="0" t="str">
        <f aca="false">IF(AND($C1111="Control",$K1111=1),$L1111,"")</f>
        <v/>
      </c>
      <c r="T1111" s="0" t="str">
        <f aca="false">IF(AND($C1111="Treatment",$K1111=1),$L1111,"")</f>
        <v/>
      </c>
    </row>
    <row r="1112" customFormat="false" ht="15" hidden="false" customHeight="false" outlineLevel="0" collapsed="false">
      <c r="A1112" s="0" t="s">
        <v>1143</v>
      </c>
      <c r="B1112" s="2" t="n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0" t="n">
        <v>1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0</v>
      </c>
      <c r="P1112" s="0" t="n">
        <v>66.2</v>
      </c>
      <c r="Q1112" s="0" t="str">
        <f aca="false">IF($C1112="Control",$P1112,"")</f>
        <v/>
      </c>
      <c r="R1112" s="3" t="n">
        <f aca="false">IF($C1112="Treatment",$P1112,"")</f>
        <v>66.2</v>
      </c>
      <c r="S1112" s="0" t="str">
        <f aca="false">IF(AND($C1112="Control",$K1112=1),$L1112,"")</f>
        <v/>
      </c>
      <c r="T1112" s="0" t="str">
        <f aca="false">IF(AND($C1112="Treatment",$K1112=1),$L1112,"")</f>
        <v/>
      </c>
    </row>
    <row r="1113" customFormat="false" ht="15" hidden="false" customHeight="false" outlineLevel="0" collapsed="false">
      <c r="A1113" s="0" t="s">
        <v>1144</v>
      </c>
      <c r="B1113" s="2" t="n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0" t="n">
        <v>1</v>
      </c>
      <c r="I1113" s="0" t="n">
        <v>1</v>
      </c>
      <c r="J1113" s="0" t="n">
        <v>1</v>
      </c>
      <c r="K1113" s="0" t="n">
        <v>0</v>
      </c>
      <c r="L1113" s="0" t="n">
        <v>0</v>
      </c>
      <c r="M1113" s="0" t="n">
        <v>1</v>
      </c>
      <c r="N1113" s="0" t="n">
        <v>0</v>
      </c>
      <c r="P1113" s="0" t="n">
        <v>43.9</v>
      </c>
      <c r="Q1113" s="0" t="str">
        <f aca="false">IF($C1113="Control",$P1113,"")</f>
        <v/>
      </c>
      <c r="R1113" s="3" t="n">
        <f aca="false">IF($C1113="Treatment",$P1113,"")</f>
        <v>43.9</v>
      </c>
      <c r="S1113" s="0" t="str">
        <f aca="false">IF(AND($C1113="Control",$K1113=1),$L1113,"")</f>
        <v/>
      </c>
      <c r="T1113" s="0" t="str">
        <f aca="false">IF(AND($C1113="Treatment",$K1113=1),$L1113,"")</f>
        <v/>
      </c>
    </row>
    <row r="1114" customFormat="false" ht="15" hidden="false" customHeight="false" outlineLevel="0" collapsed="false">
      <c r="A1114" s="0" t="s">
        <v>1145</v>
      </c>
      <c r="B1114" s="2" t="n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0" t="n">
        <v>1</v>
      </c>
      <c r="I1114" s="0" t="n">
        <v>1</v>
      </c>
      <c r="J1114" s="0" t="n">
        <v>1</v>
      </c>
      <c r="K1114" s="0" t="n">
        <v>0</v>
      </c>
      <c r="L1114" s="0" t="n">
        <v>0</v>
      </c>
      <c r="M1114" s="0" t="n">
        <v>2</v>
      </c>
      <c r="N1114" s="0" t="n">
        <v>0</v>
      </c>
      <c r="P1114" s="0" t="n">
        <v>59.1</v>
      </c>
      <c r="Q1114" s="0" t="str">
        <f aca="false">IF($C1114="Control",$P1114,"")</f>
        <v/>
      </c>
      <c r="R1114" s="3" t="n">
        <f aca="false">IF($C1114="Treatment",$P1114,"")</f>
        <v>59.1</v>
      </c>
      <c r="S1114" s="0" t="str">
        <f aca="false">IF(AND($C1114="Control",$K1114=1),$L1114,"")</f>
        <v/>
      </c>
      <c r="T1114" s="0" t="str">
        <f aca="false">IF(AND($C1114="Treatment",$K1114=1),$L1114,"")</f>
        <v/>
      </c>
    </row>
    <row r="1115" customFormat="false" ht="15" hidden="false" customHeight="false" outlineLevel="0" collapsed="false">
      <c r="A1115" s="0" t="s">
        <v>1146</v>
      </c>
      <c r="B1115" s="2" t="n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0" t="n">
        <v>1</v>
      </c>
      <c r="I1115" s="0" t="n">
        <v>1</v>
      </c>
      <c r="J1115" s="0" t="n">
        <v>1</v>
      </c>
      <c r="K1115" s="0" t="n">
        <v>1</v>
      </c>
      <c r="L1115" s="0" t="n">
        <v>416.94</v>
      </c>
      <c r="M1115" s="0" t="n">
        <v>1</v>
      </c>
      <c r="N1115" s="0" t="n">
        <v>0</v>
      </c>
      <c r="O1115" s="0" t="n">
        <v>11</v>
      </c>
      <c r="P1115" s="0" t="n">
        <v>67</v>
      </c>
      <c r="Q1115" s="0" t="str">
        <f aca="false">IF($C1115="Control",$P1115,"")</f>
        <v/>
      </c>
      <c r="R1115" s="3" t="n">
        <f aca="false">IF($C1115="Treatment",$P1115,"")</f>
        <v>67</v>
      </c>
      <c r="S1115" s="0" t="str">
        <f aca="false">IF(AND($C1115="Control",$K1115=1),$L1115,"")</f>
        <v/>
      </c>
      <c r="T1115" s="3" t="n">
        <f aca="false">IF(AND($C1115="Treatment",$K1115=1),$L1115,"")</f>
        <v>416.94</v>
      </c>
    </row>
    <row r="1116" customFormat="false" ht="15" hidden="false" customHeight="false" outlineLevel="0" collapsed="false">
      <c r="A1116" s="0" t="s">
        <v>1147</v>
      </c>
      <c r="B1116" s="2" t="n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0" t="n">
        <v>1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P1116" s="0" t="n">
        <v>47.9</v>
      </c>
      <c r="Q1116" s="0" t="str">
        <f aca="false">IF($C1116="Control",$P1116,"")</f>
        <v/>
      </c>
      <c r="R1116" s="3" t="n">
        <f aca="false">IF($C1116="Treatment",$P1116,"")</f>
        <v>47.9</v>
      </c>
      <c r="S1116" s="0" t="str">
        <f aca="false">IF(AND($C1116="Control",$K1116=1),$L1116,"")</f>
        <v/>
      </c>
      <c r="T1116" s="0" t="str">
        <f aca="false">IF(AND($C1116="Treatment",$K1116=1),$L1116,"")</f>
        <v/>
      </c>
    </row>
    <row r="1117" customFormat="false" ht="15" hidden="false" customHeight="false" outlineLevel="0" collapsed="false">
      <c r="A1117" s="0" t="s">
        <v>1148</v>
      </c>
      <c r="B1117" s="2" t="n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0" t="n">
        <v>1</v>
      </c>
      <c r="I1117" s="0" t="n">
        <v>1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P1117" s="0" t="n">
        <v>41.5</v>
      </c>
      <c r="Q1117" s="0" t="str">
        <f aca="false">IF($C1117="Control",$P1117,"")</f>
        <v/>
      </c>
      <c r="R1117" s="3" t="n">
        <f aca="false">IF($C1117="Treatment",$P1117,"")</f>
        <v>41.5</v>
      </c>
      <c r="S1117" s="0" t="str">
        <f aca="false">IF(AND($C1117="Control",$K1117=1),$L1117,"")</f>
        <v/>
      </c>
      <c r="T1117" s="0" t="str">
        <f aca="false">IF(AND($C1117="Treatment",$K1117=1),$L1117,"")</f>
        <v/>
      </c>
    </row>
    <row r="1118" customFormat="false" ht="15" hidden="false" customHeight="false" outlineLevel="0" collapsed="false">
      <c r="A1118" s="0" t="s">
        <v>1149</v>
      </c>
      <c r="B1118" s="2" t="n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0" t="n">
        <v>1</v>
      </c>
      <c r="I1118" s="0" t="n">
        <v>1</v>
      </c>
      <c r="J1118" s="0" t="n">
        <v>1</v>
      </c>
      <c r="K1118" s="0" t="n">
        <v>0</v>
      </c>
      <c r="L1118" s="0" t="n">
        <v>0</v>
      </c>
      <c r="M1118" s="0" t="n">
        <v>3</v>
      </c>
      <c r="N1118" s="0" t="n">
        <v>0</v>
      </c>
      <c r="P1118" s="0" t="n">
        <v>30.6</v>
      </c>
      <c r="Q1118" s="0" t="str">
        <f aca="false">IF($C1118="Control",$P1118,"")</f>
        <v/>
      </c>
      <c r="R1118" s="3" t="n">
        <f aca="false">IF($C1118="Treatment",$P1118,"")</f>
        <v>30.6</v>
      </c>
      <c r="S1118" s="0" t="str">
        <f aca="false">IF(AND($C1118="Control",$K1118=1),$L1118,"")</f>
        <v/>
      </c>
      <c r="T1118" s="0" t="str">
        <f aca="false">IF(AND($C1118="Treatment",$K1118=1),$L1118,"")</f>
        <v/>
      </c>
    </row>
    <row r="1119" customFormat="false" ht="15" hidden="false" customHeight="false" outlineLevel="0" collapsed="false">
      <c r="A1119" s="0" t="s">
        <v>1150</v>
      </c>
      <c r="B1119" s="2" t="n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0" t="n">
        <v>1</v>
      </c>
      <c r="I1119" s="0" t="n">
        <v>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P1119" s="0" t="n">
        <v>91.5</v>
      </c>
      <c r="Q1119" s="0" t="str">
        <f aca="false">IF($C1119="Control",$P1119,"")</f>
        <v/>
      </c>
      <c r="R1119" s="3" t="n">
        <f aca="false">IF($C1119="Treatment",$P1119,"")</f>
        <v>91.5</v>
      </c>
      <c r="S1119" s="0" t="str">
        <f aca="false">IF(AND($C1119="Control",$K1119=1),$L1119,"")</f>
        <v/>
      </c>
      <c r="T1119" s="0" t="str">
        <f aca="false">IF(AND($C1119="Treatment",$K1119=1),$L1119,"")</f>
        <v/>
      </c>
    </row>
    <row r="1120" customFormat="false" ht="15" hidden="false" customHeight="false" outlineLevel="0" collapsed="false">
      <c r="A1120" s="0" t="s">
        <v>1151</v>
      </c>
      <c r="B1120" s="2" t="n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0" t="n">
        <v>1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P1120" s="0" t="n">
        <v>80.8</v>
      </c>
      <c r="Q1120" s="0" t="str">
        <f aca="false">IF($C1120="Control",$P1120,"")</f>
        <v/>
      </c>
      <c r="R1120" s="3" t="n">
        <f aca="false">IF($C1120="Treatment",$P1120,"")</f>
        <v>80.8</v>
      </c>
      <c r="S1120" s="0" t="str">
        <f aca="false">IF(AND($C1120="Control",$K1120=1),$L1120,"")</f>
        <v/>
      </c>
      <c r="T1120" s="0" t="str">
        <f aca="false">IF(AND($C1120="Treatment",$K1120=1),$L1120,"")</f>
        <v/>
      </c>
    </row>
    <row r="1121" customFormat="false" ht="15" hidden="false" customHeight="false" outlineLevel="0" collapsed="false">
      <c r="A1121" s="0" t="s">
        <v>1152</v>
      </c>
      <c r="B1121" s="2" t="n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0" t="n">
        <v>1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P1121" s="0" t="n">
        <v>68.1</v>
      </c>
      <c r="Q1121" s="0" t="str">
        <f aca="false">IF($C1121="Control",$P1121,"")</f>
        <v/>
      </c>
      <c r="R1121" s="3" t="n">
        <f aca="false">IF($C1121="Treatment",$P1121,"")</f>
        <v>68.1</v>
      </c>
      <c r="S1121" s="0" t="str">
        <f aca="false">IF(AND($C1121="Control",$K1121=1),$L1121,"")</f>
        <v/>
      </c>
      <c r="T1121" s="0" t="str">
        <f aca="false">IF(AND($C1121="Treatment",$K1121=1),$L1121,"")</f>
        <v/>
      </c>
    </row>
    <row r="1122" customFormat="false" ht="15" hidden="false" customHeight="false" outlineLevel="0" collapsed="false">
      <c r="A1122" s="0" t="s">
        <v>1153</v>
      </c>
      <c r="B1122" s="2" t="n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0" t="n">
        <v>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P1122" s="0" t="n">
        <v>80.3</v>
      </c>
      <c r="Q1122" s="0" t="str">
        <f aca="false">IF($C1122="Control",$P1122,"")</f>
        <v/>
      </c>
      <c r="R1122" s="3" t="n">
        <f aca="false">IF($C1122="Treatment",$P1122,"")</f>
        <v>80.3</v>
      </c>
      <c r="S1122" s="0" t="str">
        <f aca="false">IF(AND($C1122="Control",$K1122=1),$L1122,"")</f>
        <v/>
      </c>
      <c r="T1122" s="0" t="str">
        <f aca="false">IF(AND($C1122="Treatment",$K1122=1),$L1122,"")</f>
        <v/>
      </c>
    </row>
    <row r="1123" customFormat="false" ht="15" hidden="false" customHeight="false" outlineLevel="0" collapsed="false">
      <c r="A1123" s="0" t="s">
        <v>1154</v>
      </c>
      <c r="B1123" s="2" t="n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0" t="n">
        <v>1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P1123" s="0" t="n">
        <v>44.4</v>
      </c>
      <c r="Q1123" s="0" t="str">
        <f aca="false">IF($C1123="Control",$P1123,"")</f>
        <v/>
      </c>
      <c r="R1123" s="3" t="n">
        <f aca="false">IF($C1123="Treatment",$P1123,"")</f>
        <v>44.4</v>
      </c>
      <c r="S1123" s="0" t="str">
        <f aca="false">IF(AND($C1123="Control",$K1123=1),$L1123,"")</f>
        <v/>
      </c>
      <c r="T1123" s="0" t="str">
        <f aca="false">IF(AND($C1123="Treatment",$K1123=1),$L1123,"")</f>
        <v/>
      </c>
    </row>
    <row r="1124" customFormat="false" ht="15" hidden="false" customHeight="false" outlineLevel="0" collapsed="false">
      <c r="A1124" s="0" t="s">
        <v>1155</v>
      </c>
      <c r="B1124" s="2" t="n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P1124" s="0" t="n">
        <v>51.9</v>
      </c>
      <c r="Q1124" s="0" t="str">
        <f aca="false">IF($C1124="Control",$P1124,"")</f>
        <v/>
      </c>
      <c r="R1124" s="3" t="n">
        <f aca="false">IF($C1124="Treatment",$P1124,"")</f>
        <v>51.9</v>
      </c>
      <c r="S1124" s="0" t="str">
        <f aca="false">IF(AND($C1124="Control",$K1124=1),$L1124,"")</f>
        <v/>
      </c>
      <c r="T1124" s="0" t="str">
        <f aca="false">IF(AND($C1124="Treatment",$K1124=1),$L1124,"")</f>
        <v/>
      </c>
    </row>
    <row r="1125" customFormat="false" ht="15" hidden="false" customHeight="false" outlineLevel="0" collapsed="false">
      <c r="A1125" s="0" t="s">
        <v>1156</v>
      </c>
      <c r="B1125" s="2" t="n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0" t="n">
        <v>1</v>
      </c>
      <c r="I1125" s="0" t="n">
        <v>1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P1125" s="0" t="n">
        <v>49.8</v>
      </c>
      <c r="Q1125" s="0" t="str">
        <f aca="false">IF($C1125="Control",$P1125,"")</f>
        <v/>
      </c>
      <c r="R1125" s="3" t="n">
        <f aca="false">IF($C1125="Treatment",$P1125,"")</f>
        <v>49.8</v>
      </c>
      <c r="S1125" s="0" t="str">
        <f aca="false">IF(AND($C1125="Control",$K1125=1),$L1125,"")</f>
        <v/>
      </c>
      <c r="T1125" s="0" t="str">
        <f aca="false">IF(AND($C1125="Treatment",$K1125=1),$L1125,"")</f>
        <v/>
      </c>
    </row>
    <row r="1126" customFormat="false" ht="15" hidden="false" customHeight="false" outlineLevel="0" collapsed="false">
      <c r="A1126" s="0" t="s">
        <v>1157</v>
      </c>
      <c r="B1126" s="2" t="n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0" t="n">
        <v>1</v>
      </c>
      <c r="I1126" s="0" t="n">
        <v>1</v>
      </c>
      <c r="J1126" s="0" t="n">
        <v>1</v>
      </c>
      <c r="K1126" s="0" t="n">
        <v>0</v>
      </c>
      <c r="L1126" s="0" t="n">
        <v>0</v>
      </c>
      <c r="M1126" s="0" t="n">
        <v>3</v>
      </c>
      <c r="N1126" s="0" t="n">
        <v>0</v>
      </c>
      <c r="P1126" s="0" t="n">
        <v>62.1</v>
      </c>
      <c r="Q1126" s="0" t="str">
        <f aca="false">IF($C1126="Control",$P1126,"")</f>
        <v/>
      </c>
      <c r="R1126" s="3" t="n">
        <f aca="false">IF($C1126="Treatment",$P1126,"")</f>
        <v>62.1</v>
      </c>
      <c r="S1126" s="0" t="str">
        <f aca="false">IF(AND($C1126="Control",$K1126=1),$L1126,"")</f>
        <v/>
      </c>
      <c r="T1126" s="0" t="str">
        <f aca="false">IF(AND($C1126="Treatment",$K1126=1),$L1126,"")</f>
        <v/>
      </c>
    </row>
    <row r="1127" customFormat="false" ht="15" hidden="false" customHeight="false" outlineLevel="0" collapsed="false">
      <c r="A1127" s="0" t="s">
        <v>1158</v>
      </c>
      <c r="B1127" s="2" t="n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0" t="n">
        <v>1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P1127" s="0" t="n">
        <v>91.3</v>
      </c>
      <c r="Q1127" s="0" t="str">
        <f aca="false">IF($C1127="Control",$P1127,"")</f>
        <v/>
      </c>
      <c r="R1127" s="3" t="n">
        <f aca="false">IF($C1127="Treatment",$P1127,"")</f>
        <v>91.3</v>
      </c>
      <c r="S1127" s="0" t="str">
        <f aca="false">IF(AND($C1127="Control",$K1127=1),$L1127,"")</f>
        <v/>
      </c>
      <c r="T1127" s="0" t="str">
        <f aca="false">IF(AND($C1127="Treatment",$K1127=1),$L1127,"")</f>
        <v/>
      </c>
    </row>
    <row r="1128" customFormat="false" ht="15" hidden="false" customHeight="false" outlineLevel="0" collapsed="false">
      <c r="A1128" s="0" t="s">
        <v>1159</v>
      </c>
      <c r="B1128" s="2" t="n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0" t="n">
        <v>1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P1128" s="0" t="n">
        <v>66.4</v>
      </c>
      <c r="Q1128" s="0" t="str">
        <f aca="false">IF($C1128="Control",$P1128,"")</f>
        <v/>
      </c>
      <c r="R1128" s="3" t="n">
        <f aca="false">IF($C1128="Treatment",$P1128,"")</f>
        <v>66.4</v>
      </c>
      <c r="S1128" s="0" t="str">
        <f aca="false">IF(AND($C1128="Control",$K1128=1),$L1128,"")</f>
        <v/>
      </c>
      <c r="T1128" s="0" t="str">
        <f aca="false">IF(AND($C1128="Treatment",$K1128=1),$L1128,"")</f>
        <v/>
      </c>
    </row>
    <row r="1129" customFormat="false" ht="15" hidden="false" customHeight="false" outlineLevel="0" collapsed="false">
      <c r="A1129" s="0" t="s">
        <v>1160</v>
      </c>
      <c r="B1129" s="2" t="n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0" t="n">
        <v>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P1129" s="0" t="n">
        <v>41.5</v>
      </c>
      <c r="Q1129" s="0" t="str">
        <f aca="false">IF($C1129="Control",$P1129,"")</f>
        <v/>
      </c>
      <c r="R1129" s="3" t="n">
        <f aca="false">IF($C1129="Treatment",$P1129,"")</f>
        <v>41.5</v>
      </c>
      <c r="S1129" s="0" t="str">
        <f aca="false">IF(AND($C1129="Control",$K1129=1),$L1129,"")</f>
        <v/>
      </c>
      <c r="T1129" s="0" t="str">
        <f aca="false">IF(AND($C1129="Treatment",$K1129=1),$L1129,"")</f>
        <v/>
      </c>
    </row>
    <row r="1130" customFormat="false" ht="15" hidden="false" customHeight="false" outlineLevel="0" collapsed="false">
      <c r="A1130" s="0" t="s">
        <v>1161</v>
      </c>
      <c r="B1130" s="2" t="n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P1130" s="0" t="n">
        <v>77.1</v>
      </c>
      <c r="Q1130" s="0" t="str">
        <f aca="false">IF($C1130="Control",$P1130,"")</f>
        <v/>
      </c>
      <c r="R1130" s="3" t="n">
        <f aca="false">IF($C1130="Treatment",$P1130,"")</f>
        <v>77.1</v>
      </c>
      <c r="S1130" s="0" t="str">
        <f aca="false">IF(AND($C1130="Control",$K1130=1),$L1130,"")</f>
        <v/>
      </c>
      <c r="T1130" s="0" t="str">
        <f aca="false">IF(AND($C1130="Treatment",$K1130=1),$L1130,"")</f>
        <v/>
      </c>
    </row>
    <row r="1131" customFormat="false" ht="15" hidden="false" customHeight="false" outlineLevel="0" collapsed="false">
      <c r="A1131" s="0" t="s">
        <v>1162</v>
      </c>
      <c r="B1131" s="2" t="n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0" t="n">
        <v>1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P1131" s="0" t="n">
        <v>63.2</v>
      </c>
      <c r="Q1131" s="0" t="str">
        <f aca="false">IF($C1131="Control",$P1131,"")</f>
        <v/>
      </c>
      <c r="R1131" s="3" t="n">
        <f aca="false">IF($C1131="Treatment",$P1131,"")</f>
        <v>63.2</v>
      </c>
      <c r="S1131" s="0" t="str">
        <f aca="false">IF(AND($C1131="Control",$K1131=1),$L1131,"")</f>
        <v/>
      </c>
      <c r="T1131" s="0" t="str">
        <f aca="false">IF(AND($C1131="Treatment",$K1131=1),$L1131,"")</f>
        <v/>
      </c>
    </row>
    <row r="1132" customFormat="false" ht="15" hidden="false" customHeight="false" outlineLevel="0" collapsed="false">
      <c r="A1132" s="0" t="s">
        <v>1163</v>
      </c>
      <c r="B1132" s="2" t="n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0" t="n">
        <v>1</v>
      </c>
      <c r="I1132" s="0" t="n">
        <v>1</v>
      </c>
      <c r="J1132" s="0" t="n">
        <v>1</v>
      </c>
      <c r="K1132" s="0" t="n">
        <v>0</v>
      </c>
      <c r="L1132" s="0" t="n">
        <v>0</v>
      </c>
      <c r="M1132" s="0" t="n">
        <v>3</v>
      </c>
      <c r="N1132" s="0" t="n">
        <v>0</v>
      </c>
      <c r="P1132" s="0" t="n">
        <v>75.7</v>
      </c>
      <c r="Q1132" s="0" t="str">
        <f aca="false">IF($C1132="Control",$P1132,"")</f>
        <v/>
      </c>
      <c r="R1132" s="3" t="n">
        <f aca="false">IF($C1132="Treatment",$P1132,"")</f>
        <v>75.7</v>
      </c>
      <c r="S1132" s="0" t="str">
        <f aca="false">IF(AND($C1132="Control",$K1132=1),$L1132,"")</f>
        <v/>
      </c>
      <c r="T1132" s="0" t="str">
        <f aca="false">IF(AND($C1132="Treatment",$K1132=1),$L1132,"")</f>
        <v/>
      </c>
    </row>
    <row r="1133" customFormat="false" ht="15" hidden="false" customHeight="false" outlineLevel="0" collapsed="false">
      <c r="A1133" s="0" t="s">
        <v>1164</v>
      </c>
      <c r="B1133" s="2" t="n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P1133" s="0" t="n">
        <v>62.9</v>
      </c>
      <c r="Q1133" s="0" t="str">
        <f aca="false">IF($C1133="Control",$P1133,"")</f>
        <v/>
      </c>
      <c r="R1133" s="3" t="n">
        <f aca="false">IF($C1133="Treatment",$P1133,"")</f>
        <v>62.9</v>
      </c>
      <c r="S1133" s="0" t="str">
        <f aca="false">IF(AND($C1133="Control",$K1133=1),$L1133,"")</f>
        <v/>
      </c>
      <c r="T1133" s="0" t="str">
        <f aca="false">IF(AND($C1133="Treatment",$K1133=1),$L1133,"")</f>
        <v/>
      </c>
    </row>
    <row r="1134" customFormat="false" ht="15" hidden="false" customHeight="false" outlineLevel="0" collapsed="false">
      <c r="A1134" s="0" t="s">
        <v>1165</v>
      </c>
      <c r="B1134" s="2" t="n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0" t="n">
        <v>1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3</v>
      </c>
      <c r="N1134" s="0" t="n">
        <v>0</v>
      </c>
      <c r="P1134" s="0" t="n">
        <v>64.6</v>
      </c>
      <c r="Q1134" s="0" t="str">
        <f aca="false">IF($C1134="Control",$P1134,"")</f>
        <v/>
      </c>
      <c r="R1134" s="3" t="n">
        <f aca="false">IF($C1134="Treatment",$P1134,"")</f>
        <v>64.6</v>
      </c>
      <c r="S1134" s="0" t="str">
        <f aca="false">IF(AND($C1134="Control",$K1134=1),$L1134,"")</f>
        <v/>
      </c>
      <c r="T1134" s="0" t="str">
        <f aca="false">IF(AND($C1134="Treatment",$K1134=1),$L1134,"")</f>
        <v/>
      </c>
    </row>
    <row r="1135" customFormat="false" ht="15" hidden="false" customHeight="false" outlineLevel="0" collapsed="false">
      <c r="A1135" s="0" t="s">
        <v>1166</v>
      </c>
      <c r="B1135" s="2" t="n">
        <v>45765</v>
      </c>
      <c r="C1135" s="3" t="s">
        <v>723</v>
      </c>
      <c r="D1135" s="3" t="s">
        <v>18</v>
      </c>
      <c r="E1135" s="3" t="s">
        <v>24</v>
      </c>
      <c r="F1135" s="3" t="s">
        <v>1470</v>
      </c>
      <c r="G1135" s="3" t="s">
        <v>21</v>
      </c>
      <c r="H1135" s="0" t="n">
        <v>1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P1135" s="0" t="n">
        <v>76.6</v>
      </c>
      <c r="Q1135" s="0" t="str">
        <f aca="false">IF($C1135="Control",$P1135,"")</f>
        <v/>
      </c>
      <c r="R1135" s="3" t="n">
        <f aca="false">IF($C1135="Treatment",$P1135,"")</f>
        <v>76.6</v>
      </c>
      <c r="S1135" s="0" t="str">
        <f aca="false">IF(AND($C1135="Control",$K1135=1),$L1135,"")</f>
        <v/>
      </c>
      <c r="T1135" s="0" t="str">
        <f aca="false">IF(AND($C1135="Treatment",$K1135=1),$L1135,"")</f>
        <v/>
      </c>
    </row>
    <row r="1136" customFormat="false" ht="15" hidden="false" customHeight="false" outlineLevel="0" collapsed="false">
      <c r="A1136" s="0" t="s">
        <v>1167</v>
      </c>
      <c r="B1136" s="2" t="n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0" t="n">
        <v>1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P1136" s="0" t="n">
        <v>74.8</v>
      </c>
      <c r="Q1136" s="0" t="str">
        <f aca="false">IF($C1136="Control",$P1136,"")</f>
        <v/>
      </c>
      <c r="R1136" s="3" t="n">
        <f aca="false">IF($C1136="Treatment",$P1136,"")</f>
        <v>74.8</v>
      </c>
      <c r="S1136" s="0" t="str">
        <f aca="false">IF(AND($C1136="Control",$K1136=1),$L1136,"")</f>
        <v/>
      </c>
      <c r="T1136" s="0" t="str">
        <f aca="false">IF(AND($C1136="Treatment",$K1136=1),$L1136,"")</f>
        <v/>
      </c>
    </row>
    <row r="1137" customFormat="false" ht="15" hidden="false" customHeight="false" outlineLevel="0" collapsed="false">
      <c r="A1137" s="0" t="s">
        <v>1168</v>
      </c>
      <c r="B1137" s="2" t="n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0" t="n">
        <v>1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2</v>
      </c>
      <c r="N1137" s="0" t="n">
        <v>0</v>
      </c>
      <c r="P1137" s="0" t="n">
        <v>38.1</v>
      </c>
      <c r="Q1137" s="0" t="str">
        <f aca="false">IF($C1137="Control",$P1137,"")</f>
        <v/>
      </c>
      <c r="R1137" s="3" t="n">
        <f aca="false">IF($C1137="Treatment",$P1137,"")</f>
        <v>38.1</v>
      </c>
      <c r="S1137" s="0" t="str">
        <f aca="false">IF(AND($C1137="Control",$K1137=1),$L1137,"")</f>
        <v/>
      </c>
      <c r="T1137" s="0" t="str">
        <f aca="false">IF(AND($C1137="Treatment",$K1137=1),$L1137,"")</f>
        <v/>
      </c>
    </row>
    <row r="1138" customFormat="false" ht="15" hidden="false" customHeight="false" outlineLevel="0" collapsed="false">
      <c r="A1138" s="0" t="s">
        <v>1169</v>
      </c>
      <c r="B1138" s="2" t="n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0" t="n">
        <v>1</v>
      </c>
      <c r="I1138" s="0" t="n">
        <v>1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P1138" s="0" t="n">
        <v>60.2</v>
      </c>
      <c r="Q1138" s="0" t="str">
        <f aca="false">IF($C1138="Control",$P1138,"")</f>
        <v/>
      </c>
      <c r="R1138" s="3" t="n">
        <f aca="false">IF($C1138="Treatment",$P1138,"")</f>
        <v>60.2</v>
      </c>
      <c r="S1138" s="0" t="str">
        <f aca="false">IF(AND($C1138="Control",$K1138=1),$L1138,"")</f>
        <v/>
      </c>
      <c r="T1138" s="0" t="str">
        <f aca="false">IF(AND($C1138="Treatment",$K1138=1),$L1138,"")</f>
        <v/>
      </c>
    </row>
    <row r="1139" customFormat="false" ht="15" hidden="false" customHeight="false" outlineLevel="0" collapsed="false">
      <c r="A1139" s="0" t="s">
        <v>1170</v>
      </c>
      <c r="B1139" s="2" t="n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0" t="n">
        <v>1</v>
      </c>
      <c r="I1139" s="0" t="n">
        <v>1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P1139" s="0" t="n">
        <v>73.5</v>
      </c>
      <c r="Q1139" s="0" t="str">
        <f aca="false">IF($C1139="Control",$P1139,"")</f>
        <v/>
      </c>
      <c r="R1139" s="3" t="n">
        <f aca="false">IF($C1139="Treatment",$P1139,"")</f>
        <v>73.5</v>
      </c>
      <c r="S1139" s="0" t="str">
        <f aca="false">IF(AND($C1139="Control",$K1139=1),$L1139,"")</f>
        <v/>
      </c>
      <c r="T1139" s="0" t="str">
        <f aca="false">IF(AND($C1139="Treatment",$K1139=1),$L1139,"")</f>
        <v/>
      </c>
    </row>
    <row r="1140" customFormat="false" ht="15" hidden="false" customHeight="false" outlineLevel="0" collapsed="false">
      <c r="A1140" s="0" t="s">
        <v>1171</v>
      </c>
      <c r="B1140" s="2" t="n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0" t="n">
        <v>1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P1140" s="0" t="n">
        <v>70.9</v>
      </c>
      <c r="Q1140" s="0" t="str">
        <f aca="false">IF($C1140="Control",$P1140,"")</f>
        <v/>
      </c>
      <c r="R1140" s="3" t="n">
        <f aca="false">IF($C1140="Treatment",$P1140,"")</f>
        <v>70.9</v>
      </c>
      <c r="S1140" s="0" t="str">
        <f aca="false">IF(AND($C1140="Control",$K1140=1),$L1140,"")</f>
        <v/>
      </c>
      <c r="T1140" s="0" t="str">
        <f aca="false">IF(AND($C1140="Treatment",$K1140=1),$L1140,"")</f>
        <v/>
      </c>
    </row>
    <row r="1141" customFormat="false" ht="15" hidden="false" customHeight="false" outlineLevel="0" collapsed="false">
      <c r="A1141" s="0" t="s">
        <v>1172</v>
      </c>
      <c r="B1141" s="2" t="n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0" t="n">
        <v>1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P1141" s="0" t="n">
        <v>63.7</v>
      </c>
      <c r="Q1141" s="0" t="str">
        <f aca="false">IF($C1141="Control",$P1141,"")</f>
        <v/>
      </c>
      <c r="R1141" s="3" t="n">
        <f aca="false">IF($C1141="Treatment",$P1141,"")</f>
        <v>63.7</v>
      </c>
      <c r="S1141" s="0" t="str">
        <f aca="false">IF(AND($C1141="Control",$K1141=1),$L1141,"")</f>
        <v/>
      </c>
      <c r="T1141" s="0" t="str">
        <f aca="false">IF(AND($C1141="Treatment",$K1141=1),$L1141,"")</f>
        <v/>
      </c>
    </row>
    <row r="1142" customFormat="false" ht="15" hidden="false" customHeight="false" outlineLevel="0" collapsed="false">
      <c r="A1142" s="0" t="s">
        <v>1173</v>
      </c>
      <c r="B1142" s="2" t="n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0" t="n">
        <v>1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P1142" s="0" t="n">
        <v>86.5</v>
      </c>
      <c r="Q1142" s="0" t="str">
        <f aca="false">IF($C1142="Control",$P1142,"")</f>
        <v/>
      </c>
      <c r="R1142" s="3" t="n">
        <f aca="false">IF($C1142="Treatment",$P1142,"")</f>
        <v>86.5</v>
      </c>
      <c r="S1142" s="0" t="str">
        <f aca="false">IF(AND($C1142="Control",$K1142=1),$L1142,"")</f>
        <v/>
      </c>
      <c r="T1142" s="0" t="str">
        <f aca="false">IF(AND($C1142="Treatment",$K1142=1),$L1142,"")</f>
        <v/>
      </c>
    </row>
    <row r="1143" customFormat="false" ht="15" hidden="false" customHeight="false" outlineLevel="0" collapsed="false">
      <c r="A1143" s="0" t="s">
        <v>1174</v>
      </c>
      <c r="B1143" s="2" t="n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0" t="n">
        <v>1</v>
      </c>
      <c r="I1143" s="0" t="n">
        <v>1</v>
      </c>
      <c r="J1143" s="0" t="n">
        <v>1</v>
      </c>
      <c r="K1143" s="0" t="n">
        <v>1</v>
      </c>
      <c r="L1143" s="0" t="n">
        <v>921.72</v>
      </c>
      <c r="M1143" s="0" t="n">
        <v>3</v>
      </c>
      <c r="N1143" s="0" t="n">
        <v>0</v>
      </c>
      <c r="O1143" s="0" t="n">
        <v>7</v>
      </c>
      <c r="P1143" s="0" t="n">
        <v>74.6</v>
      </c>
      <c r="Q1143" s="0" t="str">
        <f aca="false">IF($C1143="Control",$P1143,"")</f>
        <v/>
      </c>
      <c r="R1143" s="3" t="n">
        <f aca="false">IF($C1143="Treatment",$P1143,"")</f>
        <v>74.6</v>
      </c>
      <c r="S1143" s="0" t="str">
        <f aca="false">IF(AND($C1143="Control",$K1143=1),$L1143,"")</f>
        <v/>
      </c>
      <c r="T1143" s="3" t="n">
        <f aca="false">IF(AND($C1143="Treatment",$K1143=1),$L1143,"")</f>
        <v>921.72</v>
      </c>
    </row>
    <row r="1144" customFormat="false" ht="15" hidden="false" customHeight="false" outlineLevel="0" collapsed="false">
      <c r="A1144" s="0" t="s">
        <v>1175</v>
      </c>
      <c r="B1144" s="2" t="n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0" t="n">
        <v>1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P1144" s="0" t="n">
        <v>46.6</v>
      </c>
      <c r="Q1144" s="0" t="str">
        <f aca="false">IF($C1144="Control",$P1144,"")</f>
        <v/>
      </c>
      <c r="R1144" s="3" t="n">
        <f aca="false">IF($C1144="Treatment",$P1144,"")</f>
        <v>46.6</v>
      </c>
      <c r="S1144" s="0" t="str">
        <f aca="false">IF(AND($C1144="Control",$K1144=1),$L1144,"")</f>
        <v/>
      </c>
      <c r="T1144" s="0" t="str">
        <f aca="false">IF(AND($C1144="Treatment",$K1144=1),$L1144,"")</f>
        <v/>
      </c>
    </row>
    <row r="1145" customFormat="false" ht="15" hidden="false" customHeight="false" outlineLevel="0" collapsed="false">
      <c r="A1145" s="0" t="s">
        <v>1176</v>
      </c>
      <c r="B1145" s="2" t="n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P1145" s="0" t="n">
        <v>61.2</v>
      </c>
      <c r="Q1145" s="0" t="str">
        <f aca="false">IF($C1145="Control",$P1145,"")</f>
        <v/>
      </c>
      <c r="R1145" s="3" t="n">
        <f aca="false">IF($C1145="Treatment",$P1145,"")</f>
        <v>61.2</v>
      </c>
      <c r="S1145" s="0" t="str">
        <f aca="false">IF(AND($C1145="Control",$K1145=1),$L1145,"")</f>
        <v/>
      </c>
      <c r="T1145" s="0" t="str">
        <f aca="false">IF(AND($C1145="Treatment",$K1145=1),$L1145,"")</f>
        <v/>
      </c>
    </row>
    <row r="1146" customFormat="false" ht="15" hidden="false" customHeight="false" outlineLevel="0" collapsed="false">
      <c r="A1146" s="0" t="s">
        <v>1177</v>
      </c>
      <c r="B1146" s="2" t="n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0" t="n">
        <v>1</v>
      </c>
      <c r="I1146" s="0" t="n">
        <v>1</v>
      </c>
      <c r="J1146" s="0" t="n">
        <v>1</v>
      </c>
      <c r="K1146" s="0" t="n">
        <v>1</v>
      </c>
      <c r="L1146" s="0" t="n">
        <v>290.39</v>
      </c>
      <c r="M1146" s="0" t="n">
        <v>0</v>
      </c>
      <c r="N1146" s="0" t="n">
        <v>0</v>
      </c>
      <c r="O1146" s="0" t="n">
        <v>4</v>
      </c>
      <c r="P1146" s="0" t="n">
        <v>54.4</v>
      </c>
      <c r="Q1146" s="0" t="str">
        <f aca="false">IF($C1146="Control",$P1146,"")</f>
        <v/>
      </c>
      <c r="R1146" s="3" t="n">
        <f aca="false">IF($C1146="Treatment",$P1146,"")</f>
        <v>54.4</v>
      </c>
      <c r="S1146" s="0" t="str">
        <f aca="false">IF(AND($C1146="Control",$K1146=1),$L1146,"")</f>
        <v/>
      </c>
      <c r="T1146" s="3" t="n">
        <f aca="false">IF(AND($C1146="Treatment",$K1146=1),$L1146,"")</f>
        <v>290.39</v>
      </c>
    </row>
    <row r="1147" customFormat="false" ht="15" hidden="false" customHeight="false" outlineLevel="0" collapsed="false">
      <c r="A1147" s="0" t="s">
        <v>1178</v>
      </c>
      <c r="B1147" s="2" t="n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0" t="n">
        <v>1</v>
      </c>
      <c r="I1147" s="0" t="n">
        <v>1</v>
      </c>
      <c r="J1147" s="0" t="n">
        <v>1</v>
      </c>
      <c r="K1147" s="0" t="n">
        <v>0</v>
      </c>
      <c r="L1147" s="0" t="n">
        <v>0</v>
      </c>
      <c r="M1147" s="0" t="n">
        <v>0</v>
      </c>
      <c r="N1147" s="0" t="n">
        <v>0</v>
      </c>
      <c r="P1147" s="0" t="n">
        <v>72</v>
      </c>
      <c r="Q1147" s="0" t="str">
        <f aca="false">IF($C1147="Control",$P1147,"")</f>
        <v/>
      </c>
      <c r="R1147" s="3" t="n">
        <f aca="false">IF($C1147="Treatment",$P1147,"")</f>
        <v>72</v>
      </c>
      <c r="S1147" s="0" t="str">
        <f aca="false">IF(AND($C1147="Control",$K1147=1),$L1147,"")</f>
        <v/>
      </c>
      <c r="T1147" s="0" t="str">
        <f aca="false">IF(AND($C1147="Treatment",$K1147=1),$L1147,"")</f>
        <v/>
      </c>
    </row>
    <row r="1148" customFormat="false" ht="15" hidden="false" customHeight="false" outlineLevel="0" collapsed="false">
      <c r="A1148" s="0" t="s">
        <v>1179</v>
      </c>
      <c r="B1148" s="2" t="n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0" t="n">
        <v>1</v>
      </c>
      <c r="I1148" s="0" t="n">
        <v>1</v>
      </c>
      <c r="J1148" s="0" t="n">
        <v>1</v>
      </c>
      <c r="K1148" s="0" t="n">
        <v>1</v>
      </c>
      <c r="L1148" s="0" t="n">
        <v>1858.85</v>
      </c>
      <c r="M1148" s="0" t="n">
        <v>0</v>
      </c>
      <c r="N1148" s="0" t="n">
        <v>0</v>
      </c>
      <c r="O1148" s="0" t="n">
        <v>8</v>
      </c>
      <c r="P1148" s="0" t="n">
        <v>88.6</v>
      </c>
      <c r="Q1148" s="0" t="str">
        <f aca="false">IF($C1148="Control",$P1148,"")</f>
        <v/>
      </c>
      <c r="R1148" s="3" t="n">
        <f aca="false">IF($C1148="Treatment",$P1148,"")</f>
        <v>88.6</v>
      </c>
      <c r="S1148" s="0" t="str">
        <f aca="false">IF(AND($C1148="Control",$K1148=1),$L1148,"")</f>
        <v/>
      </c>
      <c r="T1148" s="3" t="n">
        <f aca="false">IF(AND($C1148="Treatment",$K1148=1),$L1148,"")</f>
        <v>1858.85</v>
      </c>
    </row>
    <row r="1149" customFormat="false" ht="15" hidden="false" customHeight="false" outlineLevel="0" collapsed="false">
      <c r="A1149" s="0" t="s">
        <v>1180</v>
      </c>
      <c r="B1149" s="2" t="n">
        <v>45803</v>
      </c>
      <c r="C1149" s="3" t="s">
        <v>723</v>
      </c>
      <c r="D1149" s="3" t="s">
        <v>28</v>
      </c>
      <c r="E1149" s="3" t="s">
        <v>19</v>
      </c>
      <c r="F1149" s="3" t="s">
        <v>1470</v>
      </c>
      <c r="G1149" s="3" t="s">
        <v>21</v>
      </c>
      <c r="H1149" s="0" t="n">
        <v>1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P1149" s="0" t="n">
        <v>77.6</v>
      </c>
      <c r="Q1149" s="0" t="str">
        <f aca="false">IF($C1149="Control",$P1149,"")</f>
        <v/>
      </c>
      <c r="R1149" s="3" t="n">
        <f aca="false">IF($C1149="Treatment",$P1149,"")</f>
        <v>77.6</v>
      </c>
      <c r="S1149" s="0" t="str">
        <f aca="false">IF(AND($C1149="Control",$K1149=1),$L1149,"")</f>
        <v/>
      </c>
      <c r="T1149" s="0" t="str">
        <f aca="false">IF(AND($C1149="Treatment",$K1149=1),$L1149,"")</f>
        <v/>
      </c>
    </row>
    <row r="1150" customFormat="false" ht="15" hidden="false" customHeight="false" outlineLevel="0" collapsed="false">
      <c r="A1150" s="0" t="s">
        <v>1181</v>
      </c>
      <c r="B1150" s="2" t="n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0" t="n">
        <v>1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0</v>
      </c>
      <c r="P1150" s="0" t="n">
        <v>44.3</v>
      </c>
      <c r="Q1150" s="0" t="str">
        <f aca="false">IF($C1150="Control",$P1150,"")</f>
        <v/>
      </c>
      <c r="R1150" s="3" t="n">
        <f aca="false">IF($C1150="Treatment",$P1150,"")</f>
        <v>44.3</v>
      </c>
      <c r="S1150" s="0" t="str">
        <f aca="false">IF(AND($C1150="Control",$K1150=1),$L1150,"")</f>
        <v/>
      </c>
      <c r="T1150" s="0" t="str">
        <f aca="false">IF(AND($C1150="Treatment",$K1150=1),$L1150,"")</f>
        <v/>
      </c>
    </row>
    <row r="1151" customFormat="false" ht="15" hidden="false" customHeight="false" outlineLevel="0" collapsed="false">
      <c r="A1151" s="0" t="s">
        <v>1182</v>
      </c>
      <c r="B1151" s="2" t="n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0" t="n">
        <v>1</v>
      </c>
      <c r="I1151" s="0" t="n">
        <v>1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P1151" s="0" t="n">
        <v>49</v>
      </c>
      <c r="Q1151" s="0" t="str">
        <f aca="false">IF($C1151="Control",$P1151,"")</f>
        <v/>
      </c>
      <c r="R1151" s="3" t="n">
        <f aca="false">IF($C1151="Treatment",$P1151,"")</f>
        <v>49</v>
      </c>
      <c r="S1151" s="0" t="str">
        <f aca="false">IF(AND($C1151="Control",$K1151=1),$L1151,"")</f>
        <v/>
      </c>
      <c r="T1151" s="0" t="str">
        <f aca="false">IF(AND($C1151="Treatment",$K1151=1),$L1151,"")</f>
        <v/>
      </c>
    </row>
    <row r="1152" customFormat="false" ht="15" hidden="false" customHeight="false" outlineLevel="0" collapsed="false">
      <c r="A1152" s="0" t="s">
        <v>1183</v>
      </c>
      <c r="B1152" s="2" t="n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0" t="n">
        <v>1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P1152" s="0" t="n">
        <v>53.9</v>
      </c>
      <c r="Q1152" s="0" t="str">
        <f aca="false">IF($C1152="Control",$P1152,"")</f>
        <v/>
      </c>
      <c r="R1152" s="3" t="n">
        <f aca="false">IF($C1152="Treatment",$P1152,"")</f>
        <v>53.9</v>
      </c>
      <c r="S1152" s="0" t="str">
        <f aca="false">IF(AND($C1152="Control",$K1152=1),$L1152,"")</f>
        <v/>
      </c>
      <c r="T1152" s="0" t="str">
        <f aca="false">IF(AND($C1152="Treatment",$K1152=1),$L1152,"")</f>
        <v/>
      </c>
    </row>
    <row r="1153" customFormat="false" ht="15" hidden="false" customHeight="false" outlineLevel="0" collapsed="false">
      <c r="A1153" s="0" t="s">
        <v>1184</v>
      </c>
      <c r="B1153" s="2" t="n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0" t="n">
        <v>1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0</v>
      </c>
      <c r="P1153" s="0" t="n">
        <v>69</v>
      </c>
      <c r="Q1153" s="0" t="str">
        <f aca="false">IF($C1153="Control",$P1153,"")</f>
        <v/>
      </c>
      <c r="R1153" s="3" t="n">
        <f aca="false">IF($C1153="Treatment",$P1153,"")</f>
        <v>69</v>
      </c>
      <c r="S1153" s="0" t="str">
        <f aca="false">IF(AND($C1153="Control",$K1153=1),$L1153,"")</f>
        <v/>
      </c>
      <c r="T1153" s="0" t="str">
        <f aca="false">IF(AND($C1153="Treatment",$K1153=1),$L1153,"")</f>
        <v/>
      </c>
    </row>
    <row r="1154" customFormat="false" ht="15" hidden="false" customHeight="false" outlineLevel="0" collapsed="false">
      <c r="A1154" s="0" t="s">
        <v>1185</v>
      </c>
      <c r="B1154" s="2" t="n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P1154" s="0" t="n">
        <v>37.4</v>
      </c>
      <c r="Q1154" s="0" t="str">
        <f aca="false">IF($C1154="Control",$P1154,"")</f>
        <v/>
      </c>
      <c r="R1154" s="3" t="n">
        <f aca="false">IF($C1154="Treatment",$P1154,"")</f>
        <v>37.4</v>
      </c>
      <c r="S1154" s="0" t="str">
        <f aca="false">IF(AND($C1154="Control",$K1154=1),$L1154,"")</f>
        <v/>
      </c>
      <c r="T1154" s="0" t="str">
        <f aca="false">IF(AND($C1154="Treatment",$K1154=1),$L1154,"")</f>
        <v/>
      </c>
    </row>
    <row r="1155" customFormat="false" ht="15" hidden="false" customHeight="false" outlineLevel="0" collapsed="false">
      <c r="A1155" s="0" t="s">
        <v>1186</v>
      </c>
      <c r="B1155" s="2" t="n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P1155" s="0" t="n">
        <v>59</v>
      </c>
      <c r="Q1155" s="0" t="str">
        <f aca="false">IF($C1155="Control",$P1155,"")</f>
        <v/>
      </c>
      <c r="R1155" s="3" t="n">
        <f aca="false">IF($C1155="Treatment",$P1155,"")</f>
        <v>59</v>
      </c>
      <c r="S1155" s="0" t="str">
        <f aca="false">IF(AND($C1155="Control",$K1155=1),$L1155,"")</f>
        <v/>
      </c>
      <c r="T1155" s="0" t="str">
        <f aca="false">IF(AND($C1155="Treatment",$K1155=1),$L1155,"")</f>
        <v/>
      </c>
    </row>
    <row r="1156" customFormat="false" ht="15" hidden="false" customHeight="false" outlineLevel="0" collapsed="false">
      <c r="A1156" s="0" t="s">
        <v>1187</v>
      </c>
      <c r="B1156" s="2" t="n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0" t="n">
        <v>1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P1156" s="0" t="n">
        <v>60.8</v>
      </c>
      <c r="Q1156" s="0" t="str">
        <f aca="false">IF($C1156="Control",$P1156,"")</f>
        <v/>
      </c>
      <c r="R1156" s="3" t="n">
        <f aca="false">IF($C1156="Treatment",$P1156,"")</f>
        <v>60.8</v>
      </c>
      <c r="S1156" s="0" t="str">
        <f aca="false">IF(AND($C1156="Control",$K1156=1),$L1156,"")</f>
        <v/>
      </c>
      <c r="T1156" s="0" t="str">
        <f aca="false">IF(AND($C1156="Treatment",$K1156=1),$L1156,"")</f>
        <v/>
      </c>
    </row>
    <row r="1157" customFormat="false" ht="15" hidden="false" customHeight="false" outlineLevel="0" collapsed="false">
      <c r="A1157" s="0" t="s">
        <v>1188</v>
      </c>
      <c r="B1157" s="2" t="n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0" t="n">
        <v>1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P1157" s="0" t="n">
        <v>57.5</v>
      </c>
      <c r="Q1157" s="0" t="str">
        <f aca="false">IF($C1157="Control",$P1157,"")</f>
        <v/>
      </c>
      <c r="R1157" s="3" t="n">
        <f aca="false">IF($C1157="Treatment",$P1157,"")</f>
        <v>57.5</v>
      </c>
      <c r="S1157" s="0" t="str">
        <f aca="false">IF(AND($C1157="Control",$K1157=1),$L1157,"")</f>
        <v/>
      </c>
      <c r="T1157" s="0" t="str">
        <f aca="false">IF(AND($C1157="Treatment",$K1157=1),$L1157,"")</f>
        <v/>
      </c>
    </row>
    <row r="1158" customFormat="false" ht="15" hidden="false" customHeight="false" outlineLevel="0" collapsed="false">
      <c r="A1158" s="0" t="s">
        <v>1189</v>
      </c>
      <c r="B1158" s="2" t="n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P1158" s="0" t="n">
        <v>84.2</v>
      </c>
      <c r="Q1158" s="0" t="str">
        <f aca="false">IF($C1158="Control",$P1158,"")</f>
        <v/>
      </c>
      <c r="R1158" s="3" t="n">
        <f aca="false">IF($C1158="Treatment",$P1158,"")</f>
        <v>84.2</v>
      </c>
      <c r="S1158" s="0" t="str">
        <f aca="false">IF(AND($C1158="Control",$K1158=1),$L1158,"")</f>
        <v/>
      </c>
      <c r="T1158" s="0" t="str">
        <f aca="false">IF(AND($C1158="Treatment",$K1158=1),$L1158,"")</f>
        <v/>
      </c>
    </row>
    <row r="1159" customFormat="false" ht="15" hidden="false" customHeight="false" outlineLevel="0" collapsed="false">
      <c r="A1159" s="0" t="s">
        <v>1190</v>
      </c>
      <c r="B1159" s="2" t="n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0" t="n">
        <v>1</v>
      </c>
      <c r="I1159" s="0" t="n">
        <v>1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P1159" s="0" t="n">
        <v>27.4</v>
      </c>
      <c r="Q1159" s="0" t="str">
        <f aca="false">IF($C1159="Control",$P1159,"")</f>
        <v/>
      </c>
      <c r="R1159" s="3" t="n">
        <f aca="false">IF($C1159="Treatment",$P1159,"")</f>
        <v>27.4</v>
      </c>
      <c r="S1159" s="0" t="str">
        <f aca="false">IF(AND($C1159="Control",$K1159=1),$L1159,"")</f>
        <v/>
      </c>
      <c r="T1159" s="0" t="str">
        <f aca="false">IF(AND($C1159="Treatment",$K1159=1),$L1159,"")</f>
        <v/>
      </c>
    </row>
    <row r="1160" customFormat="false" ht="15" hidden="false" customHeight="false" outlineLevel="0" collapsed="false">
      <c r="A1160" s="0" t="s">
        <v>1191</v>
      </c>
      <c r="B1160" s="2" t="n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0" t="n">
        <v>1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0</v>
      </c>
      <c r="P1160" s="0" t="n">
        <v>67.6</v>
      </c>
      <c r="Q1160" s="0" t="str">
        <f aca="false">IF($C1160="Control",$P1160,"")</f>
        <v/>
      </c>
      <c r="R1160" s="3" t="n">
        <f aca="false">IF($C1160="Treatment",$P1160,"")</f>
        <v>67.6</v>
      </c>
      <c r="S1160" s="0" t="str">
        <f aca="false">IF(AND($C1160="Control",$K1160=1),$L1160,"")</f>
        <v/>
      </c>
      <c r="T1160" s="0" t="str">
        <f aca="false">IF(AND($C1160="Treatment",$K1160=1),$L1160,"")</f>
        <v/>
      </c>
    </row>
    <row r="1161" customFormat="false" ht="15" hidden="false" customHeight="false" outlineLevel="0" collapsed="false">
      <c r="A1161" s="0" t="s">
        <v>1192</v>
      </c>
      <c r="B1161" s="2" t="n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P1161" s="0" t="n">
        <v>68.4</v>
      </c>
      <c r="Q1161" s="0" t="str">
        <f aca="false">IF($C1161="Control",$P1161,"")</f>
        <v/>
      </c>
      <c r="R1161" s="3" t="n">
        <f aca="false">IF($C1161="Treatment",$P1161,"")</f>
        <v>68.4</v>
      </c>
      <c r="S1161" s="0" t="str">
        <f aca="false">IF(AND($C1161="Control",$K1161=1),$L1161,"")</f>
        <v/>
      </c>
      <c r="T1161" s="0" t="str">
        <f aca="false">IF(AND($C1161="Treatment",$K1161=1),$L1161,"")</f>
        <v/>
      </c>
    </row>
    <row r="1162" customFormat="false" ht="15" hidden="false" customHeight="false" outlineLevel="0" collapsed="false">
      <c r="A1162" s="0" t="s">
        <v>1193</v>
      </c>
      <c r="B1162" s="2" t="n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0" t="n">
        <v>1</v>
      </c>
      <c r="I1162" s="0" t="n">
        <v>1</v>
      </c>
      <c r="J1162" s="0" t="n">
        <v>1</v>
      </c>
      <c r="K1162" s="0" t="n">
        <v>0</v>
      </c>
      <c r="L1162" s="0" t="n">
        <v>0</v>
      </c>
      <c r="M1162" s="0" t="n">
        <v>0</v>
      </c>
      <c r="N1162" s="0" t="n">
        <v>0</v>
      </c>
      <c r="P1162" s="0" t="n">
        <v>66.5</v>
      </c>
      <c r="Q1162" s="0" t="str">
        <f aca="false">IF($C1162="Control",$P1162,"")</f>
        <v/>
      </c>
      <c r="R1162" s="3" t="n">
        <f aca="false">IF($C1162="Treatment",$P1162,"")</f>
        <v>66.5</v>
      </c>
      <c r="S1162" s="0" t="str">
        <f aca="false">IF(AND($C1162="Control",$K1162=1),$L1162,"")</f>
        <v/>
      </c>
      <c r="T1162" s="0" t="str">
        <f aca="false">IF(AND($C1162="Treatment",$K1162=1),$L1162,"")</f>
        <v/>
      </c>
    </row>
    <row r="1163" customFormat="false" ht="15" hidden="false" customHeight="false" outlineLevel="0" collapsed="false">
      <c r="A1163" s="0" t="s">
        <v>1194</v>
      </c>
      <c r="B1163" s="2" t="n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0" t="n">
        <v>1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P1163" s="0" t="n">
        <v>38.2</v>
      </c>
      <c r="Q1163" s="0" t="str">
        <f aca="false">IF($C1163="Control",$P1163,"")</f>
        <v/>
      </c>
      <c r="R1163" s="3" t="n">
        <f aca="false">IF($C1163="Treatment",$P1163,"")</f>
        <v>38.2</v>
      </c>
      <c r="S1163" s="0" t="str">
        <f aca="false">IF(AND($C1163="Control",$K1163=1),$L1163,"")</f>
        <v/>
      </c>
      <c r="T1163" s="0" t="str">
        <f aca="false">IF(AND($C1163="Treatment",$K1163=1),$L1163,"")</f>
        <v/>
      </c>
    </row>
    <row r="1164" customFormat="false" ht="15" hidden="false" customHeight="false" outlineLevel="0" collapsed="false">
      <c r="A1164" s="0" t="s">
        <v>1195</v>
      </c>
      <c r="B1164" s="2" t="n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0</v>
      </c>
      <c r="P1164" s="0" t="n">
        <v>66.7</v>
      </c>
      <c r="Q1164" s="0" t="str">
        <f aca="false">IF($C1164="Control",$P1164,"")</f>
        <v/>
      </c>
      <c r="R1164" s="3" t="n">
        <f aca="false">IF($C1164="Treatment",$P1164,"")</f>
        <v>66.7</v>
      </c>
      <c r="S1164" s="0" t="str">
        <f aca="false">IF(AND($C1164="Control",$K1164=1),$L1164,"")</f>
        <v/>
      </c>
      <c r="T1164" s="0" t="str">
        <f aca="false">IF(AND($C1164="Treatment",$K1164=1),$L1164,"")</f>
        <v/>
      </c>
    </row>
    <row r="1165" customFormat="false" ht="15" hidden="false" customHeight="false" outlineLevel="0" collapsed="false">
      <c r="A1165" s="0" t="s">
        <v>1196</v>
      </c>
      <c r="B1165" s="2" t="n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0</v>
      </c>
      <c r="P1165" s="0" t="n">
        <v>73.7</v>
      </c>
      <c r="Q1165" s="0" t="str">
        <f aca="false">IF($C1165="Control",$P1165,"")</f>
        <v/>
      </c>
      <c r="R1165" s="3" t="n">
        <f aca="false">IF($C1165="Treatment",$P1165,"")</f>
        <v>73.7</v>
      </c>
      <c r="S1165" s="0" t="str">
        <f aca="false">IF(AND($C1165="Control",$K1165=1),$L1165,"")</f>
        <v/>
      </c>
      <c r="T1165" s="0" t="str">
        <f aca="false">IF(AND($C1165="Treatment",$K1165=1),$L1165,"")</f>
        <v/>
      </c>
    </row>
    <row r="1166" customFormat="false" ht="15" hidden="false" customHeight="false" outlineLevel="0" collapsed="false">
      <c r="A1166" s="0" t="s">
        <v>1197</v>
      </c>
      <c r="B1166" s="2" t="n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0" t="n">
        <v>1</v>
      </c>
      <c r="I1166" s="0" t="n">
        <v>1</v>
      </c>
      <c r="J1166" s="0" t="n">
        <v>1</v>
      </c>
      <c r="K1166" s="0" t="n">
        <v>0</v>
      </c>
      <c r="L1166" s="0" t="n">
        <v>0</v>
      </c>
      <c r="M1166" s="0" t="n">
        <v>0</v>
      </c>
      <c r="N1166" s="0" t="n">
        <v>0</v>
      </c>
      <c r="P1166" s="0" t="n">
        <v>63.9</v>
      </c>
      <c r="Q1166" s="0" t="str">
        <f aca="false">IF($C1166="Control",$P1166,"")</f>
        <v/>
      </c>
      <c r="R1166" s="3" t="n">
        <f aca="false">IF($C1166="Treatment",$P1166,"")</f>
        <v>63.9</v>
      </c>
      <c r="S1166" s="0" t="str">
        <f aca="false">IF(AND($C1166="Control",$K1166=1),$L1166,"")</f>
        <v/>
      </c>
      <c r="T1166" s="0" t="str">
        <f aca="false">IF(AND($C1166="Treatment",$K1166=1),$L1166,"")</f>
        <v/>
      </c>
    </row>
    <row r="1167" customFormat="false" ht="15" hidden="false" customHeight="false" outlineLevel="0" collapsed="false">
      <c r="A1167" s="0" t="s">
        <v>1198</v>
      </c>
      <c r="B1167" s="2" t="n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0" t="n">
        <v>1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0</v>
      </c>
      <c r="P1167" s="0" t="n">
        <v>82.6</v>
      </c>
      <c r="Q1167" s="0" t="str">
        <f aca="false">IF($C1167="Control",$P1167,"")</f>
        <v/>
      </c>
      <c r="R1167" s="3" t="n">
        <f aca="false">IF($C1167="Treatment",$P1167,"")</f>
        <v>82.6</v>
      </c>
      <c r="S1167" s="0" t="str">
        <f aca="false">IF(AND($C1167="Control",$K1167=1),$L1167,"")</f>
        <v/>
      </c>
      <c r="T1167" s="0" t="str">
        <f aca="false">IF(AND($C1167="Treatment",$K1167=1),$L1167,"")</f>
        <v/>
      </c>
    </row>
    <row r="1168" customFormat="false" ht="15" hidden="false" customHeight="false" outlineLevel="0" collapsed="false">
      <c r="A1168" s="0" t="s">
        <v>1199</v>
      </c>
      <c r="B1168" s="2" t="n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0</v>
      </c>
      <c r="P1168" s="0" t="n">
        <v>58.3</v>
      </c>
      <c r="Q1168" s="0" t="str">
        <f aca="false">IF($C1168="Control",$P1168,"")</f>
        <v/>
      </c>
      <c r="R1168" s="3" t="n">
        <f aca="false">IF($C1168="Treatment",$P1168,"")</f>
        <v>58.3</v>
      </c>
      <c r="S1168" s="0" t="str">
        <f aca="false">IF(AND($C1168="Control",$K1168=1),$L1168,"")</f>
        <v/>
      </c>
      <c r="T1168" s="0" t="str">
        <f aca="false">IF(AND($C1168="Treatment",$K1168=1),$L1168,"")</f>
        <v/>
      </c>
    </row>
    <row r="1169" customFormat="false" ht="15" hidden="false" customHeight="false" outlineLevel="0" collapsed="false">
      <c r="A1169" s="0" t="s">
        <v>1200</v>
      </c>
      <c r="B1169" s="2" t="n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0" t="n">
        <v>1</v>
      </c>
      <c r="I1169" s="0" t="n">
        <v>1</v>
      </c>
      <c r="J1169" s="0" t="n">
        <v>1</v>
      </c>
      <c r="K1169" s="0" t="n">
        <v>1</v>
      </c>
      <c r="L1169" s="0" t="n">
        <v>1547.06</v>
      </c>
      <c r="M1169" s="0" t="n">
        <v>0</v>
      </c>
      <c r="N1169" s="0" t="n">
        <v>1</v>
      </c>
      <c r="O1169" s="0" t="n">
        <v>2</v>
      </c>
      <c r="P1169" s="0" t="n">
        <v>72.9</v>
      </c>
      <c r="Q1169" s="0" t="str">
        <f aca="false">IF($C1169="Control",$P1169,"")</f>
        <v/>
      </c>
      <c r="R1169" s="3" t="n">
        <f aca="false">IF($C1169="Treatment",$P1169,"")</f>
        <v>72.9</v>
      </c>
      <c r="S1169" s="0" t="str">
        <f aca="false">IF(AND($C1169="Control",$K1169=1),$L1169,"")</f>
        <v/>
      </c>
      <c r="T1169" s="3" t="n">
        <f aca="false">IF(AND($C1169="Treatment",$K1169=1),$L1169,"")</f>
        <v>1547.06</v>
      </c>
    </row>
    <row r="1170" customFormat="false" ht="15" hidden="false" customHeight="false" outlineLevel="0" collapsed="false">
      <c r="A1170" s="0" t="s">
        <v>1201</v>
      </c>
      <c r="B1170" s="2" t="n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0" t="n">
        <v>1</v>
      </c>
      <c r="I1170" s="0" t="n">
        <v>1</v>
      </c>
      <c r="J1170" s="0" t="n">
        <v>1</v>
      </c>
      <c r="K1170" s="0" t="n">
        <v>0</v>
      </c>
      <c r="L1170" s="0" t="n">
        <v>0</v>
      </c>
      <c r="M1170" s="0" t="n">
        <v>2</v>
      </c>
      <c r="N1170" s="0" t="n">
        <v>0</v>
      </c>
      <c r="P1170" s="0" t="n">
        <v>53.5</v>
      </c>
      <c r="Q1170" s="0" t="str">
        <f aca="false">IF($C1170="Control",$P1170,"")</f>
        <v/>
      </c>
      <c r="R1170" s="3" t="n">
        <f aca="false">IF($C1170="Treatment",$P1170,"")</f>
        <v>53.5</v>
      </c>
      <c r="S1170" s="0" t="str">
        <f aca="false">IF(AND($C1170="Control",$K1170=1),$L1170,"")</f>
        <v/>
      </c>
      <c r="T1170" s="0" t="str">
        <f aca="false">IF(AND($C1170="Treatment",$K1170=1),$L1170,"")</f>
        <v/>
      </c>
    </row>
    <row r="1171" customFormat="false" ht="15" hidden="false" customHeight="false" outlineLevel="0" collapsed="false">
      <c r="A1171" s="0" t="s">
        <v>1202</v>
      </c>
      <c r="B1171" s="2" t="n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0" t="n">
        <v>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P1171" s="0" t="n">
        <v>54.8</v>
      </c>
      <c r="Q1171" s="0" t="str">
        <f aca="false">IF($C1171="Control",$P1171,"")</f>
        <v/>
      </c>
      <c r="R1171" s="3" t="n">
        <f aca="false">IF($C1171="Treatment",$P1171,"")</f>
        <v>54.8</v>
      </c>
      <c r="S1171" s="0" t="str">
        <f aca="false">IF(AND($C1171="Control",$K1171=1),$L1171,"")</f>
        <v/>
      </c>
      <c r="T1171" s="0" t="str">
        <f aca="false">IF(AND($C1171="Treatment",$K1171=1),$L1171,"")</f>
        <v/>
      </c>
    </row>
    <row r="1172" customFormat="false" ht="15" hidden="false" customHeight="false" outlineLevel="0" collapsed="false">
      <c r="A1172" s="0" t="s">
        <v>1203</v>
      </c>
      <c r="B1172" s="2" t="n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0" t="n">
        <v>1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P1172" s="0" t="n">
        <v>69.5</v>
      </c>
      <c r="Q1172" s="0" t="str">
        <f aca="false">IF($C1172="Control",$P1172,"")</f>
        <v/>
      </c>
      <c r="R1172" s="3" t="n">
        <f aca="false">IF($C1172="Treatment",$P1172,"")</f>
        <v>69.5</v>
      </c>
      <c r="S1172" s="0" t="str">
        <f aca="false">IF(AND($C1172="Control",$K1172=1),$L1172,"")</f>
        <v/>
      </c>
      <c r="T1172" s="0" t="str">
        <f aca="false">IF(AND($C1172="Treatment",$K1172=1),$L1172,"")</f>
        <v/>
      </c>
    </row>
    <row r="1173" customFormat="false" ht="15" hidden="false" customHeight="false" outlineLevel="0" collapsed="false">
      <c r="A1173" s="0" t="s">
        <v>1204</v>
      </c>
      <c r="B1173" s="2" t="n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0" t="n">
        <v>1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0</v>
      </c>
      <c r="P1173" s="0" t="n">
        <v>71.3</v>
      </c>
      <c r="Q1173" s="0" t="str">
        <f aca="false">IF($C1173="Control",$P1173,"")</f>
        <v/>
      </c>
      <c r="R1173" s="3" t="n">
        <f aca="false">IF($C1173="Treatment",$P1173,"")</f>
        <v>71.3</v>
      </c>
      <c r="S1173" s="0" t="str">
        <f aca="false">IF(AND($C1173="Control",$K1173=1),$L1173,"")</f>
        <v/>
      </c>
      <c r="T1173" s="0" t="str">
        <f aca="false">IF(AND($C1173="Treatment",$K1173=1),$L1173,"")</f>
        <v/>
      </c>
    </row>
    <row r="1174" customFormat="false" ht="15" hidden="false" customHeight="false" outlineLevel="0" collapsed="false">
      <c r="A1174" s="0" t="s">
        <v>1205</v>
      </c>
      <c r="B1174" s="2" t="n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0" t="n">
        <v>1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0</v>
      </c>
      <c r="P1174" s="0" t="n">
        <v>57.5</v>
      </c>
      <c r="Q1174" s="0" t="str">
        <f aca="false">IF($C1174="Control",$P1174,"")</f>
        <v/>
      </c>
      <c r="R1174" s="3" t="n">
        <f aca="false">IF($C1174="Treatment",$P1174,"")</f>
        <v>57.5</v>
      </c>
      <c r="S1174" s="0" t="str">
        <f aca="false">IF(AND($C1174="Control",$K1174=1),$L1174,"")</f>
        <v/>
      </c>
      <c r="T1174" s="0" t="str">
        <f aca="false">IF(AND($C1174="Treatment",$K1174=1),$L1174,"")</f>
        <v/>
      </c>
    </row>
    <row r="1175" customFormat="false" ht="15" hidden="false" customHeight="false" outlineLevel="0" collapsed="false">
      <c r="A1175" s="0" t="s">
        <v>1206</v>
      </c>
      <c r="B1175" s="2" t="n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0" t="n">
        <v>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4</v>
      </c>
      <c r="N1175" s="0" t="n">
        <v>0</v>
      </c>
      <c r="P1175" s="0" t="n">
        <v>50.9</v>
      </c>
      <c r="Q1175" s="0" t="str">
        <f aca="false">IF($C1175="Control",$P1175,"")</f>
        <v/>
      </c>
      <c r="R1175" s="3" t="n">
        <f aca="false">IF($C1175="Treatment",$P1175,"")</f>
        <v>50.9</v>
      </c>
      <c r="S1175" s="0" t="str">
        <f aca="false">IF(AND($C1175="Control",$K1175=1),$L1175,"")</f>
        <v/>
      </c>
      <c r="T1175" s="0" t="str">
        <f aca="false">IF(AND($C1175="Treatment",$K1175=1),$L1175,"")</f>
        <v/>
      </c>
    </row>
    <row r="1176" customFormat="false" ht="15" hidden="false" customHeight="false" outlineLevel="0" collapsed="false">
      <c r="A1176" s="0" t="s">
        <v>1207</v>
      </c>
      <c r="B1176" s="2" t="n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0" t="n">
        <v>1</v>
      </c>
      <c r="I1176" s="0" t="n">
        <v>1</v>
      </c>
      <c r="J1176" s="0" t="n">
        <v>1</v>
      </c>
      <c r="K1176" s="0" t="n">
        <v>0</v>
      </c>
      <c r="L1176" s="0" t="n">
        <v>0</v>
      </c>
      <c r="M1176" s="0" t="n">
        <v>0</v>
      </c>
      <c r="N1176" s="0" t="n">
        <v>0</v>
      </c>
      <c r="P1176" s="0" t="n">
        <v>69.3</v>
      </c>
      <c r="Q1176" s="0" t="str">
        <f aca="false">IF($C1176="Control",$P1176,"")</f>
        <v/>
      </c>
      <c r="R1176" s="3" t="n">
        <f aca="false">IF($C1176="Treatment",$P1176,"")</f>
        <v>69.3</v>
      </c>
      <c r="S1176" s="0" t="str">
        <f aca="false">IF(AND($C1176="Control",$K1176=1),$L1176,"")</f>
        <v/>
      </c>
      <c r="T1176" s="0" t="str">
        <f aca="false">IF(AND($C1176="Treatment",$K1176=1),$L1176,"")</f>
        <v/>
      </c>
    </row>
    <row r="1177" customFormat="false" ht="15" hidden="false" customHeight="false" outlineLevel="0" collapsed="false">
      <c r="A1177" s="0" t="s">
        <v>1208</v>
      </c>
      <c r="B1177" s="2" t="n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0" t="n">
        <v>1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P1177" s="0" t="n">
        <v>50.1</v>
      </c>
      <c r="Q1177" s="0" t="str">
        <f aca="false">IF($C1177="Control",$P1177,"")</f>
        <v/>
      </c>
      <c r="R1177" s="3" t="n">
        <f aca="false">IF($C1177="Treatment",$P1177,"")</f>
        <v>50.1</v>
      </c>
      <c r="S1177" s="0" t="str">
        <f aca="false">IF(AND($C1177="Control",$K1177=1),$L1177,"")</f>
        <v/>
      </c>
      <c r="T1177" s="0" t="str">
        <f aca="false">IF(AND($C1177="Treatment",$K1177=1),$L1177,"")</f>
        <v/>
      </c>
    </row>
    <row r="1178" customFormat="false" ht="15" hidden="false" customHeight="false" outlineLevel="0" collapsed="false">
      <c r="A1178" s="0" t="s">
        <v>1209</v>
      </c>
      <c r="B1178" s="2" t="n">
        <v>45692</v>
      </c>
      <c r="C1178" s="3" t="s">
        <v>723</v>
      </c>
      <c r="D1178" s="3" t="s">
        <v>28</v>
      </c>
      <c r="E1178" s="3" t="s">
        <v>1470</v>
      </c>
      <c r="F1178" s="3" t="s">
        <v>29</v>
      </c>
      <c r="G1178" s="3" t="s">
        <v>21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P1178" s="0" t="n">
        <v>69.7</v>
      </c>
      <c r="Q1178" s="0" t="str">
        <f aca="false">IF($C1178="Control",$P1178,"")</f>
        <v/>
      </c>
      <c r="R1178" s="3" t="n">
        <f aca="false">IF($C1178="Treatment",$P1178,"")</f>
        <v>69.7</v>
      </c>
      <c r="S1178" s="0" t="str">
        <f aca="false">IF(AND($C1178="Control",$K1178=1),$L1178,"")</f>
        <v/>
      </c>
      <c r="T1178" s="0" t="str">
        <f aca="false">IF(AND($C1178="Treatment",$K1178=1),$L1178,"")</f>
        <v/>
      </c>
    </row>
    <row r="1179" customFormat="false" ht="15" hidden="false" customHeight="false" outlineLevel="0" collapsed="false">
      <c r="A1179" s="0" t="s">
        <v>1210</v>
      </c>
      <c r="B1179" s="2" t="n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P1179" s="0" t="n">
        <v>63.5</v>
      </c>
      <c r="Q1179" s="0" t="str">
        <f aca="false">IF($C1179="Control",$P1179,"")</f>
        <v/>
      </c>
      <c r="R1179" s="3" t="n">
        <f aca="false">IF($C1179="Treatment",$P1179,"")</f>
        <v>63.5</v>
      </c>
      <c r="S1179" s="0" t="str">
        <f aca="false">IF(AND($C1179="Control",$K1179=1),$L1179,"")</f>
        <v/>
      </c>
      <c r="T1179" s="0" t="str">
        <f aca="false">IF(AND($C1179="Treatment",$K1179=1),$L1179,"")</f>
        <v/>
      </c>
    </row>
    <row r="1180" customFormat="false" ht="15" hidden="false" customHeight="false" outlineLevel="0" collapsed="false">
      <c r="A1180" s="0" t="s">
        <v>1211</v>
      </c>
      <c r="B1180" s="2" t="n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0" t="n">
        <v>1</v>
      </c>
      <c r="I1180" s="0" t="n">
        <v>1</v>
      </c>
      <c r="J1180" s="0" t="n">
        <v>1</v>
      </c>
      <c r="K1180" s="0" t="n">
        <v>1</v>
      </c>
      <c r="L1180" s="0" t="n">
        <v>265.59</v>
      </c>
      <c r="M1180" s="0" t="n">
        <v>1</v>
      </c>
      <c r="N1180" s="0" t="n">
        <v>0</v>
      </c>
      <c r="O1180" s="0" t="n">
        <v>8</v>
      </c>
      <c r="P1180" s="0" t="n">
        <v>80.4</v>
      </c>
      <c r="Q1180" s="0" t="str">
        <f aca="false">IF($C1180="Control",$P1180,"")</f>
        <v/>
      </c>
      <c r="R1180" s="3" t="n">
        <f aca="false">IF($C1180="Treatment",$P1180,"")</f>
        <v>80.4</v>
      </c>
      <c r="S1180" s="0" t="str">
        <f aca="false">IF(AND($C1180="Control",$K1180=1),$L1180,"")</f>
        <v/>
      </c>
      <c r="T1180" s="3" t="n">
        <f aca="false">IF(AND($C1180="Treatment",$K1180=1),$L1180,"")</f>
        <v>265.59</v>
      </c>
    </row>
    <row r="1181" customFormat="false" ht="15" hidden="false" customHeight="false" outlineLevel="0" collapsed="false">
      <c r="A1181" s="0" t="s">
        <v>1212</v>
      </c>
      <c r="B1181" s="2" t="n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P1181" s="0" t="n">
        <v>58.9</v>
      </c>
      <c r="Q1181" s="0" t="str">
        <f aca="false">IF($C1181="Control",$P1181,"")</f>
        <v/>
      </c>
      <c r="R1181" s="3" t="n">
        <f aca="false">IF($C1181="Treatment",$P1181,"")</f>
        <v>58.9</v>
      </c>
      <c r="S1181" s="0" t="str">
        <f aca="false">IF(AND($C1181="Control",$K1181=1),$L1181,"")</f>
        <v/>
      </c>
      <c r="T1181" s="0" t="str">
        <f aca="false">IF(AND($C1181="Treatment",$K1181=1),$L1181,"")</f>
        <v/>
      </c>
    </row>
    <row r="1182" customFormat="false" ht="15" hidden="false" customHeight="false" outlineLevel="0" collapsed="false">
      <c r="A1182" s="0" t="s">
        <v>1213</v>
      </c>
      <c r="B1182" s="2" t="n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0" t="n">
        <v>1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P1182" s="0" t="n">
        <v>56.8</v>
      </c>
      <c r="Q1182" s="0" t="str">
        <f aca="false">IF($C1182="Control",$P1182,"")</f>
        <v/>
      </c>
      <c r="R1182" s="3" t="n">
        <f aca="false">IF($C1182="Treatment",$P1182,"")</f>
        <v>56.8</v>
      </c>
      <c r="S1182" s="0" t="str">
        <f aca="false">IF(AND($C1182="Control",$K1182=1),$L1182,"")</f>
        <v/>
      </c>
      <c r="T1182" s="0" t="str">
        <f aca="false">IF(AND($C1182="Treatment",$K1182=1),$L1182,"")</f>
        <v/>
      </c>
    </row>
    <row r="1183" customFormat="false" ht="15" hidden="false" customHeight="false" outlineLevel="0" collapsed="false">
      <c r="A1183" s="0" t="s">
        <v>1214</v>
      </c>
      <c r="B1183" s="2" t="n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P1183" s="0" t="n">
        <v>73.9</v>
      </c>
      <c r="Q1183" s="0" t="str">
        <f aca="false">IF($C1183="Control",$P1183,"")</f>
        <v/>
      </c>
      <c r="R1183" s="3" t="n">
        <f aca="false">IF($C1183="Treatment",$P1183,"")</f>
        <v>73.9</v>
      </c>
      <c r="S1183" s="0" t="str">
        <f aca="false">IF(AND($C1183="Control",$K1183=1),$L1183,"")</f>
        <v/>
      </c>
      <c r="T1183" s="0" t="str">
        <f aca="false">IF(AND($C1183="Treatment",$K1183=1),$L1183,"")</f>
        <v/>
      </c>
    </row>
    <row r="1184" customFormat="false" ht="15" hidden="false" customHeight="false" outlineLevel="0" collapsed="false">
      <c r="A1184" s="0" t="s">
        <v>1215</v>
      </c>
      <c r="B1184" s="2" t="n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P1184" s="0" t="n">
        <v>76.3</v>
      </c>
      <c r="Q1184" s="0" t="str">
        <f aca="false">IF($C1184="Control",$P1184,"")</f>
        <v/>
      </c>
      <c r="R1184" s="3" t="n">
        <f aca="false">IF($C1184="Treatment",$P1184,"")</f>
        <v>76.3</v>
      </c>
      <c r="S1184" s="0" t="str">
        <f aca="false">IF(AND($C1184="Control",$K1184=1),$L1184,"")</f>
        <v/>
      </c>
      <c r="T1184" s="0" t="str">
        <f aca="false">IF(AND($C1184="Treatment",$K1184=1),$L1184,"")</f>
        <v/>
      </c>
    </row>
    <row r="1185" customFormat="false" ht="15" hidden="false" customHeight="false" outlineLevel="0" collapsed="false">
      <c r="A1185" s="0" t="s">
        <v>1216</v>
      </c>
      <c r="B1185" s="2" t="n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0" t="n">
        <v>1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P1185" s="0" t="n">
        <v>56.9</v>
      </c>
      <c r="Q1185" s="0" t="str">
        <f aca="false">IF($C1185="Control",$P1185,"")</f>
        <v/>
      </c>
      <c r="R1185" s="3" t="n">
        <f aca="false">IF($C1185="Treatment",$P1185,"")</f>
        <v>56.9</v>
      </c>
      <c r="S1185" s="0" t="str">
        <f aca="false">IF(AND($C1185="Control",$K1185=1),$L1185,"")</f>
        <v/>
      </c>
      <c r="T1185" s="0" t="str">
        <f aca="false">IF(AND($C1185="Treatment",$K1185=1),$L1185,"")</f>
        <v/>
      </c>
    </row>
    <row r="1186" customFormat="false" ht="15" hidden="false" customHeight="false" outlineLevel="0" collapsed="false">
      <c r="A1186" s="0" t="s">
        <v>1217</v>
      </c>
      <c r="B1186" s="2" t="n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0" t="n">
        <v>1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2</v>
      </c>
      <c r="N1186" s="0" t="n">
        <v>0</v>
      </c>
      <c r="P1186" s="0" t="n">
        <v>49.4</v>
      </c>
      <c r="Q1186" s="0" t="str">
        <f aca="false">IF($C1186="Control",$P1186,"")</f>
        <v/>
      </c>
      <c r="R1186" s="3" t="n">
        <f aca="false">IF($C1186="Treatment",$P1186,"")</f>
        <v>49.4</v>
      </c>
      <c r="S1186" s="0" t="str">
        <f aca="false">IF(AND($C1186="Control",$K1186=1),$L1186,"")</f>
        <v/>
      </c>
      <c r="T1186" s="0" t="str">
        <f aca="false">IF(AND($C1186="Treatment",$K1186=1),$L1186,"")</f>
        <v/>
      </c>
    </row>
    <row r="1187" customFormat="false" ht="15" hidden="false" customHeight="false" outlineLevel="0" collapsed="false">
      <c r="A1187" s="0" t="s">
        <v>1218</v>
      </c>
      <c r="B1187" s="2" t="n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0" t="n">
        <v>1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P1187" s="0" t="n">
        <v>86.7</v>
      </c>
      <c r="Q1187" s="0" t="str">
        <f aca="false">IF($C1187="Control",$P1187,"")</f>
        <v/>
      </c>
      <c r="R1187" s="3" t="n">
        <f aca="false">IF($C1187="Treatment",$P1187,"")</f>
        <v>86.7</v>
      </c>
      <c r="S1187" s="0" t="str">
        <f aca="false">IF(AND($C1187="Control",$K1187=1),$L1187,"")</f>
        <v/>
      </c>
      <c r="T1187" s="0" t="str">
        <f aca="false">IF(AND($C1187="Treatment",$K1187=1),$L1187,"")</f>
        <v/>
      </c>
    </row>
    <row r="1188" customFormat="false" ht="15" hidden="false" customHeight="false" outlineLevel="0" collapsed="false">
      <c r="A1188" s="0" t="s">
        <v>1219</v>
      </c>
      <c r="B1188" s="2" t="n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0" t="n">
        <v>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3</v>
      </c>
      <c r="N1188" s="0" t="n">
        <v>0</v>
      </c>
      <c r="P1188" s="0" t="n">
        <v>69</v>
      </c>
      <c r="Q1188" s="0" t="str">
        <f aca="false">IF($C1188="Control",$P1188,"")</f>
        <v/>
      </c>
      <c r="R1188" s="3" t="n">
        <f aca="false">IF($C1188="Treatment",$P1188,"")</f>
        <v>69</v>
      </c>
      <c r="S1188" s="0" t="str">
        <f aca="false">IF(AND($C1188="Control",$K1188=1),$L1188,"")</f>
        <v/>
      </c>
      <c r="T1188" s="0" t="str">
        <f aca="false">IF(AND($C1188="Treatment",$K1188=1),$L1188,"")</f>
        <v/>
      </c>
    </row>
    <row r="1189" customFormat="false" ht="15" hidden="false" customHeight="false" outlineLevel="0" collapsed="false">
      <c r="A1189" s="0" t="s">
        <v>1220</v>
      </c>
      <c r="B1189" s="2" t="n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P1189" s="0" t="n">
        <v>84.5</v>
      </c>
      <c r="Q1189" s="0" t="str">
        <f aca="false">IF($C1189="Control",$P1189,"")</f>
        <v/>
      </c>
      <c r="R1189" s="3" t="n">
        <f aca="false">IF($C1189="Treatment",$P1189,"")</f>
        <v>84.5</v>
      </c>
      <c r="S1189" s="0" t="str">
        <f aca="false">IF(AND($C1189="Control",$K1189=1),$L1189,"")</f>
        <v/>
      </c>
      <c r="T1189" s="0" t="str">
        <f aca="false">IF(AND($C1189="Treatment",$K1189=1),$L1189,"")</f>
        <v/>
      </c>
    </row>
    <row r="1190" customFormat="false" ht="15" hidden="false" customHeight="false" outlineLevel="0" collapsed="false">
      <c r="A1190" s="0" t="s">
        <v>1221</v>
      </c>
      <c r="B1190" s="2" t="n">
        <v>45763</v>
      </c>
      <c r="C1190" s="3" t="s">
        <v>723</v>
      </c>
      <c r="D1190" s="3" t="s">
        <v>28</v>
      </c>
      <c r="E1190" s="3" t="s">
        <v>1470</v>
      </c>
      <c r="F1190" s="3" t="s">
        <v>39</v>
      </c>
      <c r="G1190" s="3" t="s">
        <v>26</v>
      </c>
      <c r="H1190" s="0" t="n">
        <v>1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P1190" s="0" t="n">
        <v>66.3</v>
      </c>
      <c r="Q1190" s="0" t="str">
        <f aca="false">IF($C1190="Control",$P1190,"")</f>
        <v/>
      </c>
      <c r="R1190" s="3" t="n">
        <f aca="false">IF($C1190="Treatment",$P1190,"")</f>
        <v>66.3</v>
      </c>
      <c r="S1190" s="0" t="str">
        <f aca="false">IF(AND($C1190="Control",$K1190=1),$L1190,"")</f>
        <v/>
      </c>
      <c r="T1190" s="0" t="str">
        <f aca="false">IF(AND($C1190="Treatment",$K1190=1),$L1190,"")</f>
        <v/>
      </c>
    </row>
    <row r="1191" customFormat="false" ht="15" hidden="false" customHeight="false" outlineLevel="0" collapsed="false">
      <c r="A1191" s="0" t="s">
        <v>1222</v>
      </c>
      <c r="B1191" s="2" t="n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P1191" s="0" t="n">
        <v>52.2</v>
      </c>
      <c r="Q1191" s="0" t="str">
        <f aca="false">IF($C1191="Control",$P1191,"")</f>
        <v/>
      </c>
      <c r="R1191" s="3" t="n">
        <f aca="false">IF($C1191="Treatment",$P1191,"")</f>
        <v>52.2</v>
      </c>
      <c r="S1191" s="0" t="str">
        <f aca="false">IF(AND($C1191="Control",$K1191=1),$L1191,"")</f>
        <v/>
      </c>
      <c r="T1191" s="0" t="str">
        <f aca="false">IF(AND($C1191="Treatment",$K1191=1),$L1191,"")</f>
        <v/>
      </c>
    </row>
    <row r="1192" customFormat="false" ht="15" hidden="false" customHeight="false" outlineLevel="0" collapsed="false">
      <c r="A1192" s="0" t="s">
        <v>1223</v>
      </c>
      <c r="B1192" s="2" t="n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0" t="n">
        <v>1</v>
      </c>
      <c r="I1192" s="0" t="n">
        <v>1</v>
      </c>
      <c r="J1192" s="0" t="n">
        <v>1</v>
      </c>
      <c r="K1192" s="0" t="n">
        <v>0</v>
      </c>
      <c r="L1192" s="0" t="n">
        <v>0</v>
      </c>
      <c r="M1192" s="0" t="n">
        <v>0</v>
      </c>
      <c r="N1192" s="0" t="n">
        <v>0</v>
      </c>
      <c r="P1192" s="0" t="n">
        <v>81.2</v>
      </c>
      <c r="Q1192" s="0" t="str">
        <f aca="false">IF($C1192="Control",$P1192,"")</f>
        <v/>
      </c>
      <c r="R1192" s="3" t="n">
        <f aca="false">IF($C1192="Treatment",$P1192,"")</f>
        <v>81.2</v>
      </c>
      <c r="S1192" s="0" t="str">
        <f aca="false">IF(AND($C1192="Control",$K1192=1),$L1192,"")</f>
        <v/>
      </c>
      <c r="T1192" s="0" t="str">
        <f aca="false">IF(AND($C1192="Treatment",$K1192=1),$L1192,"")</f>
        <v/>
      </c>
    </row>
    <row r="1193" customFormat="false" ht="15" hidden="false" customHeight="false" outlineLevel="0" collapsed="false">
      <c r="A1193" s="0" t="s">
        <v>1224</v>
      </c>
      <c r="B1193" s="2" t="n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P1193" s="0" t="n">
        <v>53.9</v>
      </c>
      <c r="Q1193" s="0" t="str">
        <f aca="false">IF($C1193="Control",$P1193,"")</f>
        <v/>
      </c>
      <c r="R1193" s="3" t="n">
        <f aca="false">IF($C1193="Treatment",$P1193,"")</f>
        <v>53.9</v>
      </c>
      <c r="S1193" s="0" t="str">
        <f aca="false">IF(AND($C1193="Control",$K1193=1),$L1193,"")</f>
        <v/>
      </c>
      <c r="T1193" s="0" t="str">
        <f aca="false">IF(AND($C1193="Treatment",$K1193=1),$L1193,"")</f>
        <v/>
      </c>
    </row>
    <row r="1194" customFormat="false" ht="15" hidden="false" customHeight="false" outlineLevel="0" collapsed="false">
      <c r="A1194" s="0" t="s">
        <v>1225</v>
      </c>
      <c r="B1194" s="2" t="n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P1194" s="0" t="n">
        <v>39.1</v>
      </c>
      <c r="Q1194" s="0" t="str">
        <f aca="false">IF($C1194="Control",$P1194,"")</f>
        <v/>
      </c>
      <c r="R1194" s="3" t="n">
        <f aca="false">IF($C1194="Treatment",$P1194,"")</f>
        <v>39.1</v>
      </c>
      <c r="S1194" s="0" t="str">
        <f aca="false">IF(AND($C1194="Control",$K1194=1),$L1194,"")</f>
        <v/>
      </c>
      <c r="T1194" s="0" t="str">
        <f aca="false">IF(AND($C1194="Treatment",$K1194=1),$L1194,"")</f>
        <v/>
      </c>
    </row>
    <row r="1195" customFormat="false" ht="15" hidden="false" customHeight="false" outlineLevel="0" collapsed="false">
      <c r="A1195" s="0" t="s">
        <v>1226</v>
      </c>
      <c r="B1195" s="2" t="n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P1195" s="0" t="n">
        <v>57.3</v>
      </c>
      <c r="Q1195" s="0" t="str">
        <f aca="false">IF($C1195="Control",$P1195,"")</f>
        <v/>
      </c>
      <c r="R1195" s="3" t="n">
        <f aca="false">IF($C1195="Treatment",$P1195,"")</f>
        <v>57.3</v>
      </c>
      <c r="S1195" s="0" t="str">
        <f aca="false">IF(AND($C1195="Control",$K1195=1),$L1195,"")</f>
        <v/>
      </c>
      <c r="T1195" s="0" t="str">
        <f aca="false">IF(AND($C1195="Treatment",$K1195=1),$L1195,"")</f>
        <v/>
      </c>
    </row>
    <row r="1196" customFormat="false" ht="15" hidden="false" customHeight="false" outlineLevel="0" collapsed="false">
      <c r="A1196" s="0" t="s">
        <v>1227</v>
      </c>
      <c r="B1196" s="2" t="n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0" t="n">
        <v>1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0</v>
      </c>
      <c r="P1196" s="0" t="n">
        <v>65.9</v>
      </c>
      <c r="Q1196" s="0" t="str">
        <f aca="false">IF($C1196="Control",$P1196,"")</f>
        <v/>
      </c>
      <c r="R1196" s="3" t="n">
        <f aca="false">IF($C1196="Treatment",$P1196,"")</f>
        <v>65.9</v>
      </c>
      <c r="S1196" s="0" t="str">
        <f aca="false">IF(AND($C1196="Control",$K1196=1),$L1196,"")</f>
        <v/>
      </c>
      <c r="T1196" s="0" t="str">
        <f aca="false">IF(AND($C1196="Treatment",$K1196=1),$L1196,"")</f>
        <v/>
      </c>
    </row>
    <row r="1197" customFormat="false" ht="15" hidden="false" customHeight="false" outlineLevel="0" collapsed="false">
      <c r="A1197" s="0" t="s">
        <v>1228</v>
      </c>
      <c r="B1197" s="2" t="n">
        <v>45710</v>
      </c>
      <c r="C1197" s="3" t="s">
        <v>723</v>
      </c>
      <c r="D1197" s="3" t="s">
        <v>18</v>
      </c>
      <c r="E1197" s="3" t="s">
        <v>1470</v>
      </c>
      <c r="F1197" s="3" t="s">
        <v>41</v>
      </c>
      <c r="G1197" s="3" t="s">
        <v>26</v>
      </c>
      <c r="H1197" s="0" t="n">
        <v>1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0</v>
      </c>
      <c r="P1197" s="0" t="n">
        <v>34.2</v>
      </c>
      <c r="Q1197" s="0" t="str">
        <f aca="false">IF($C1197="Control",$P1197,"")</f>
        <v/>
      </c>
      <c r="R1197" s="3" t="n">
        <f aca="false">IF($C1197="Treatment",$P1197,"")</f>
        <v>34.2</v>
      </c>
      <c r="S1197" s="0" t="str">
        <f aca="false">IF(AND($C1197="Control",$K1197=1),$L1197,"")</f>
        <v/>
      </c>
      <c r="T1197" s="0" t="str">
        <f aca="false">IF(AND($C1197="Treatment",$K1197=1),$L1197,"")</f>
        <v/>
      </c>
    </row>
    <row r="1198" customFormat="false" ht="15" hidden="false" customHeight="false" outlineLevel="0" collapsed="false">
      <c r="A1198" s="0" t="s">
        <v>1229</v>
      </c>
      <c r="B1198" s="2" t="n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P1198" s="0" t="n">
        <v>47.2</v>
      </c>
      <c r="Q1198" s="0" t="str">
        <f aca="false">IF($C1198="Control",$P1198,"")</f>
        <v/>
      </c>
      <c r="R1198" s="3" t="n">
        <f aca="false">IF($C1198="Treatment",$P1198,"")</f>
        <v>47.2</v>
      </c>
      <c r="S1198" s="0" t="str">
        <f aca="false">IF(AND($C1198="Control",$K1198=1),$L1198,"")</f>
        <v/>
      </c>
      <c r="T1198" s="0" t="str">
        <f aca="false">IF(AND($C1198="Treatment",$K1198=1),$L1198,"")</f>
        <v/>
      </c>
    </row>
    <row r="1199" customFormat="false" ht="15" hidden="false" customHeight="false" outlineLevel="0" collapsed="false">
      <c r="A1199" s="0" t="s">
        <v>1230</v>
      </c>
      <c r="B1199" s="2" t="n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0" t="n">
        <v>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0</v>
      </c>
      <c r="P1199" s="0" t="n">
        <v>55</v>
      </c>
      <c r="Q1199" s="0" t="str">
        <f aca="false">IF($C1199="Control",$P1199,"")</f>
        <v/>
      </c>
      <c r="R1199" s="3" t="n">
        <f aca="false">IF($C1199="Treatment",$P1199,"")</f>
        <v>55</v>
      </c>
      <c r="S1199" s="0" t="str">
        <f aca="false">IF(AND($C1199="Control",$K1199=1),$L1199,"")</f>
        <v/>
      </c>
      <c r="T1199" s="0" t="str">
        <f aca="false">IF(AND($C1199="Treatment",$K1199=1),$L1199,"")</f>
        <v/>
      </c>
    </row>
    <row r="1200" customFormat="false" ht="15" hidden="false" customHeight="false" outlineLevel="0" collapsed="false">
      <c r="A1200" s="0" t="s">
        <v>1231</v>
      </c>
      <c r="B1200" s="2" t="n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0" t="n">
        <v>1</v>
      </c>
      <c r="I1200" s="0" t="n">
        <v>1</v>
      </c>
      <c r="J1200" s="0" t="n">
        <v>1</v>
      </c>
      <c r="K1200" s="0" t="n">
        <v>0</v>
      </c>
      <c r="L1200" s="0" t="n">
        <v>0</v>
      </c>
      <c r="M1200" s="0" t="n">
        <v>0</v>
      </c>
      <c r="N1200" s="0" t="n">
        <v>0</v>
      </c>
      <c r="P1200" s="0" t="n">
        <v>76.4</v>
      </c>
      <c r="Q1200" s="0" t="str">
        <f aca="false">IF($C1200="Control",$P1200,"")</f>
        <v/>
      </c>
      <c r="R1200" s="3" t="n">
        <f aca="false">IF($C1200="Treatment",$P1200,"")</f>
        <v>76.4</v>
      </c>
      <c r="S1200" s="0" t="str">
        <f aca="false">IF(AND($C1200="Control",$K1200=1),$L1200,"")</f>
        <v/>
      </c>
      <c r="T1200" s="0" t="str">
        <f aca="false">IF(AND($C1200="Treatment",$K1200=1),$L1200,"")</f>
        <v/>
      </c>
    </row>
    <row r="1201" customFormat="false" ht="15" hidden="false" customHeight="false" outlineLevel="0" collapsed="false">
      <c r="A1201" s="0" t="s">
        <v>1232</v>
      </c>
      <c r="B1201" s="2" t="n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0" t="n">
        <v>1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P1201" s="0" t="n">
        <v>70.8</v>
      </c>
      <c r="Q1201" s="0" t="str">
        <f aca="false">IF($C1201="Control",$P1201,"")</f>
        <v/>
      </c>
      <c r="R1201" s="3" t="n">
        <f aca="false">IF($C1201="Treatment",$P1201,"")</f>
        <v>70.8</v>
      </c>
      <c r="S1201" s="0" t="str">
        <f aca="false">IF(AND($C1201="Control",$K1201=1),$L1201,"")</f>
        <v/>
      </c>
      <c r="T1201" s="0" t="str">
        <f aca="false">IF(AND($C1201="Treatment",$K1201=1),$L1201,"")</f>
        <v/>
      </c>
    </row>
    <row r="1202" customFormat="false" ht="15" hidden="false" customHeight="false" outlineLevel="0" collapsed="false">
      <c r="A1202" s="0" t="s">
        <v>1233</v>
      </c>
      <c r="B1202" s="2" t="n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0" t="n">
        <v>1</v>
      </c>
      <c r="I1202" s="0" t="n">
        <v>1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0</v>
      </c>
      <c r="P1202" s="0" t="n">
        <v>58</v>
      </c>
      <c r="Q1202" s="0" t="str">
        <f aca="false">IF($C1202="Control",$P1202,"")</f>
        <v/>
      </c>
      <c r="R1202" s="3" t="n">
        <f aca="false">IF($C1202="Treatment",$P1202,"")</f>
        <v>58</v>
      </c>
      <c r="S1202" s="0" t="str">
        <f aca="false">IF(AND($C1202="Control",$K1202=1),$L1202,"")</f>
        <v/>
      </c>
      <c r="T1202" s="0" t="str">
        <f aca="false">IF(AND($C1202="Treatment",$K1202=1),$L1202,"")</f>
        <v/>
      </c>
    </row>
    <row r="1203" customFormat="false" ht="15" hidden="false" customHeight="false" outlineLevel="0" collapsed="false">
      <c r="A1203" s="0" t="s">
        <v>1234</v>
      </c>
      <c r="B1203" s="2" t="n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0" t="n">
        <v>1</v>
      </c>
      <c r="I1203" s="0" t="n">
        <v>1</v>
      </c>
      <c r="J1203" s="0" t="n">
        <v>1</v>
      </c>
      <c r="K1203" s="0" t="n">
        <v>0</v>
      </c>
      <c r="L1203" s="0" t="n">
        <v>0</v>
      </c>
      <c r="M1203" s="0" t="n">
        <v>1</v>
      </c>
      <c r="N1203" s="0" t="n">
        <v>0</v>
      </c>
      <c r="P1203" s="0" t="n">
        <v>70.8</v>
      </c>
      <c r="Q1203" s="0" t="str">
        <f aca="false">IF($C1203="Control",$P1203,"")</f>
        <v/>
      </c>
      <c r="R1203" s="3" t="n">
        <f aca="false">IF($C1203="Treatment",$P1203,"")</f>
        <v>70.8</v>
      </c>
      <c r="S1203" s="0" t="str">
        <f aca="false">IF(AND($C1203="Control",$K1203=1),$L1203,"")</f>
        <v/>
      </c>
      <c r="T1203" s="0" t="str">
        <f aca="false">IF(AND($C1203="Treatment",$K1203=1),$L1203,"")</f>
        <v/>
      </c>
    </row>
    <row r="1204" customFormat="false" ht="15" hidden="false" customHeight="false" outlineLevel="0" collapsed="false">
      <c r="A1204" s="0" t="s">
        <v>1235</v>
      </c>
      <c r="B1204" s="2" t="n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0" t="n">
        <v>1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3</v>
      </c>
      <c r="N1204" s="0" t="n">
        <v>0</v>
      </c>
      <c r="P1204" s="0" t="n">
        <v>60</v>
      </c>
      <c r="Q1204" s="0" t="str">
        <f aca="false">IF($C1204="Control",$P1204,"")</f>
        <v/>
      </c>
      <c r="R1204" s="3" t="n">
        <f aca="false">IF($C1204="Treatment",$P1204,"")</f>
        <v>60</v>
      </c>
      <c r="S1204" s="0" t="str">
        <f aca="false">IF(AND($C1204="Control",$K1204=1),$L1204,"")</f>
        <v/>
      </c>
      <c r="T1204" s="0" t="str">
        <f aca="false">IF(AND($C1204="Treatment",$K1204=1),$L1204,"")</f>
        <v/>
      </c>
    </row>
    <row r="1205" customFormat="false" ht="15" hidden="false" customHeight="false" outlineLevel="0" collapsed="false">
      <c r="A1205" s="0" t="s">
        <v>1236</v>
      </c>
      <c r="B1205" s="2" t="n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0" t="n">
        <v>1</v>
      </c>
      <c r="I1205" s="0" t="n">
        <v>1</v>
      </c>
      <c r="J1205" s="0" t="n">
        <v>1</v>
      </c>
      <c r="K1205" s="0" t="n">
        <v>0</v>
      </c>
      <c r="L1205" s="0" t="n">
        <v>0</v>
      </c>
      <c r="M1205" s="0" t="n">
        <v>3</v>
      </c>
      <c r="N1205" s="0" t="n">
        <v>0</v>
      </c>
      <c r="P1205" s="0" t="n">
        <v>58.1</v>
      </c>
      <c r="Q1205" s="0" t="str">
        <f aca="false">IF($C1205="Control",$P1205,"")</f>
        <v/>
      </c>
      <c r="R1205" s="3" t="n">
        <f aca="false">IF($C1205="Treatment",$P1205,"")</f>
        <v>58.1</v>
      </c>
      <c r="S1205" s="0" t="str">
        <f aca="false">IF(AND($C1205="Control",$K1205=1),$L1205,"")</f>
        <v/>
      </c>
      <c r="T1205" s="0" t="str">
        <f aca="false">IF(AND($C1205="Treatment",$K1205=1),$L1205,"")</f>
        <v/>
      </c>
    </row>
    <row r="1206" customFormat="false" ht="15" hidden="false" customHeight="false" outlineLevel="0" collapsed="false">
      <c r="A1206" s="0" t="s">
        <v>1237</v>
      </c>
      <c r="B1206" s="2" t="n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P1206" s="0" t="n">
        <v>59.7</v>
      </c>
      <c r="Q1206" s="0" t="str">
        <f aca="false">IF($C1206="Control",$P1206,"")</f>
        <v/>
      </c>
      <c r="R1206" s="3" t="n">
        <f aca="false">IF($C1206="Treatment",$P1206,"")</f>
        <v>59.7</v>
      </c>
      <c r="S1206" s="0" t="str">
        <f aca="false">IF(AND($C1206="Control",$K1206=1),$L1206,"")</f>
        <v/>
      </c>
      <c r="T1206" s="0" t="str">
        <f aca="false">IF(AND($C1206="Treatment",$K1206=1),$L1206,"")</f>
        <v/>
      </c>
    </row>
    <row r="1207" customFormat="false" ht="15" hidden="false" customHeight="false" outlineLevel="0" collapsed="false">
      <c r="A1207" s="0" t="s">
        <v>1238</v>
      </c>
      <c r="B1207" s="2" t="n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P1207" s="0" t="n">
        <v>47.7</v>
      </c>
      <c r="Q1207" s="0" t="str">
        <f aca="false">IF($C1207="Control",$P1207,"")</f>
        <v/>
      </c>
      <c r="R1207" s="3" t="n">
        <f aca="false">IF($C1207="Treatment",$P1207,"")</f>
        <v>47.7</v>
      </c>
      <c r="S1207" s="0" t="str">
        <f aca="false">IF(AND($C1207="Control",$K1207=1),$L1207,"")</f>
        <v/>
      </c>
      <c r="T1207" s="0" t="str">
        <f aca="false">IF(AND($C1207="Treatment",$K1207=1),$L1207,"")</f>
        <v/>
      </c>
    </row>
    <row r="1208" customFormat="false" ht="15" hidden="false" customHeight="false" outlineLevel="0" collapsed="false">
      <c r="A1208" s="0" t="s">
        <v>1239</v>
      </c>
      <c r="B1208" s="2" t="n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P1208" s="0" t="n">
        <v>59.1</v>
      </c>
      <c r="Q1208" s="0" t="str">
        <f aca="false">IF($C1208="Control",$P1208,"")</f>
        <v/>
      </c>
      <c r="R1208" s="3" t="n">
        <f aca="false">IF($C1208="Treatment",$P1208,"")</f>
        <v>59.1</v>
      </c>
      <c r="S1208" s="0" t="str">
        <f aca="false">IF(AND($C1208="Control",$K1208=1),$L1208,"")</f>
        <v/>
      </c>
      <c r="T1208" s="0" t="str">
        <f aca="false">IF(AND($C1208="Treatment",$K1208=1),$L1208,"")</f>
        <v/>
      </c>
    </row>
    <row r="1209" customFormat="false" ht="15" hidden="false" customHeight="false" outlineLevel="0" collapsed="false">
      <c r="A1209" s="0" t="s">
        <v>1240</v>
      </c>
      <c r="B1209" s="2" t="n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0" t="n">
        <v>1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1</v>
      </c>
      <c r="N1209" s="0" t="n">
        <v>0</v>
      </c>
      <c r="P1209" s="0" t="n">
        <v>68.7</v>
      </c>
      <c r="Q1209" s="0" t="str">
        <f aca="false">IF($C1209="Control",$P1209,"")</f>
        <v/>
      </c>
      <c r="R1209" s="3" t="n">
        <f aca="false">IF($C1209="Treatment",$P1209,"")</f>
        <v>68.7</v>
      </c>
      <c r="S1209" s="0" t="str">
        <f aca="false">IF(AND($C1209="Control",$K1209=1),$L1209,"")</f>
        <v/>
      </c>
      <c r="T1209" s="0" t="str">
        <f aca="false">IF(AND($C1209="Treatment",$K1209=1),$L1209,"")</f>
        <v/>
      </c>
    </row>
    <row r="1210" customFormat="false" ht="15" hidden="false" customHeight="false" outlineLevel="0" collapsed="false">
      <c r="A1210" s="0" t="s">
        <v>1241</v>
      </c>
      <c r="B1210" s="2" t="n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P1210" s="0" t="n">
        <v>34.7</v>
      </c>
      <c r="Q1210" s="0" t="str">
        <f aca="false">IF($C1210="Control",$P1210,"")</f>
        <v/>
      </c>
      <c r="R1210" s="3" t="n">
        <f aca="false">IF($C1210="Treatment",$P1210,"")</f>
        <v>34.7</v>
      </c>
      <c r="S1210" s="0" t="str">
        <f aca="false">IF(AND($C1210="Control",$K1210=1),$L1210,"")</f>
        <v/>
      </c>
      <c r="T1210" s="0" t="str">
        <f aca="false">IF(AND($C1210="Treatment",$K1210=1),$L1210,"")</f>
        <v/>
      </c>
    </row>
    <row r="1211" customFormat="false" ht="15" hidden="false" customHeight="false" outlineLevel="0" collapsed="false">
      <c r="A1211" s="0" t="s">
        <v>1242</v>
      </c>
      <c r="B1211" s="2" t="n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0" t="n">
        <v>1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P1211" s="0" t="n">
        <v>62</v>
      </c>
      <c r="Q1211" s="0" t="str">
        <f aca="false">IF($C1211="Control",$P1211,"")</f>
        <v/>
      </c>
      <c r="R1211" s="3" t="n">
        <f aca="false">IF($C1211="Treatment",$P1211,"")</f>
        <v>62</v>
      </c>
      <c r="S1211" s="0" t="str">
        <f aca="false">IF(AND($C1211="Control",$K1211=1),$L1211,"")</f>
        <v/>
      </c>
      <c r="T1211" s="0" t="str">
        <f aca="false">IF(AND($C1211="Treatment",$K1211=1),$L1211,"")</f>
        <v/>
      </c>
    </row>
    <row r="1212" customFormat="false" ht="15" hidden="false" customHeight="false" outlineLevel="0" collapsed="false">
      <c r="A1212" s="0" t="s">
        <v>1243</v>
      </c>
      <c r="B1212" s="2" t="n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0" t="n">
        <v>1</v>
      </c>
      <c r="I1212" s="0" t="n">
        <v>1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P1212" s="0" t="n">
        <v>56</v>
      </c>
      <c r="Q1212" s="0" t="str">
        <f aca="false">IF($C1212="Control",$P1212,"")</f>
        <v/>
      </c>
      <c r="R1212" s="3" t="n">
        <f aca="false">IF($C1212="Treatment",$P1212,"")</f>
        <v>56</v>
      </c>
      <c r="S1212" s="0" t="str">
        <f aca="false">IF(AND($C1212="Control",$K1212=1),$L1212,"")</f>
        <v/>
      </c>
      <c r="T1212" s="0" t="str">
        <f aca="false">IF(AND($C1212="Treatment",$K1212=1),$L1212,"")</f>
        <v/>
      </c>
    </row>
    <row r="1213" customFormat="false" ht="15" hidden="false" customHeight="false" outlineLevel="0" collapsed="false">
      <c r="A1213" s="0" t="s">
        <v>1244</v>
      </c>
      <c r="B1213" s="2" t="n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0" t="n">
        <v>1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0</v>
      </c>
      <c r="P1213" s="0" t="n">
        <v>65.8</v>
      </c>
      <c r="Q1213" s="0" t="str">
        <f aca="false">IF($C1213="Control",$P1213,"")</f>
        <v/>
      </c>
      <c r="R1213" s="3" t="n">
        <f aca="false">IF($C1213="Treatment",$P1213,"")</f>
        <v>65.8</v>
      </c>
      <c r="S1213" s="0" t="str">
        <f aca="false">IF(AND($C1213="Control",$K1213=1),$L1213,"")</f>
        <v/>
      </c>
      <c r="T1213" s="0" t="str">
        <f aca="false">IF(AND($C1213="Treatment",$K1213=1),$L1213,"")</f>
        <v/>
      </c>
    </row>
    <row r="1214" customFormat="false" ht="15" hidden="false" customHeight="false" outlineLevel="0" collapsed="false">
      <c r="A1214" s="0" t="s">
        <v>1245</v>
      </c>
      <c r="B1214" s="2" t="n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P1214" s="0" t="n">
        <v>54.7</v>
      </c>
      <c r="Q1214" s="0" t="str">
        <f aca="false">IF($C1214="Control",$P1214,"")</f>
        <v/>
      </c>
      <c r="R1214" s="3" t="n">
        <f aca="false">IF($C1214="Treatment",$P1214,"")</f>
        <v>54.7</v>
      </c>
      <c r="S1214" s="0" t="str">
        <f aca="false">IF(AND($C1214="Control",$K1214=1),$L1214,"")</f>
        <v/>
      </c>
      <c r="T1214" s="0" t="str">
        <f aca="false">IF(AND($C1214="Treatment",$K1214=1),$L1214,"")</f>
        <v/>
      </c>
    </row>
    <row r="1215" customFormat="false" ht="15" hidden="false" customHeight="false" outlineLevel="0" collapsed="false">
      <c r="A1215" s="0" t="s">
        <v>1246</v>
      </c>
      <c r="B1215" s="2" t="n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0" t="n">
        <v>1</v>
      </c>
      <c r="I1215" s="0" t="n">
        <v>1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P1215" s="0" t="n">
        <v>64.1</v>
      </c>
      <c r="Q1215" s="0" t="str">
        <f aca="false">IF($C1215="Control",$P1215,"")</f>
        <v/>
      </c>
      <c r="R1215" s="3" t="n">
        <f aca="false">IF($C1215="Treatment",$P1215,"")</f>
        <v>64.1</v>
      </c>
      <c r="S1215" s="0" t="str">
        <f aca="false">IF(AND($C1215="Control",$K1215=1),$L1215,"")</f>
        <v/>
      </c>
      <c r="T1215" s="0" t="str">
        <f aca="false">IF(AND($C1215="Treatment",$K1215=1),$L1215,"")</f>
        <v/>
      </c>
    </row>
    <row r="1216" customFormat="false" ht="15" hidden="false" customHeight="false" outlineLevel="0" collapsed="false">
      <c r="A1216" s="0" t="s">
        <v>1247</v>
      </c>
      <c r="B1216" s="2" t="n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0" t="n">
        <v>1</v>
      </c>
      <c r="I1216" s="0" t="n">
        <v>1</v>
      </c>
      <c r="J1216" s="0" t="n">
        <v>1</v>
      </c>
      <c r="K1216" s="0" t="n">
        <v>0</v>
      </c>
      <c r="L1216" s="0" t="n">
        <v>0</v>
      </c>
      <c r="M1216" s="0" t="n">
        <v>0</v>
      </c>
      <c r="N1216" s="0" t="n">
        <v>0</v>
      </c>
      <c r="P1216" s="0" t="n">
        <v>71.6</v>
      </c>
      <c r="Q1216" s="0" t="str">
        <f aca="false">IF($C1216="Control",$P1216,"")</f>
        <v/>
      </c>
      <c r="R1216" s="3" t="n">
        <f aca="false">IF($C1216="Treatment",$P1216,"")</f>
        <v>71.6</v>
      </c>
      <c r="S1216" s="0" t="str">
        <f aca="false">IF(AND($C1216="Control",$K1216=1),$L1216,"")</f>
        <v/>
      </c>
      <c r="T1216" s="0" t="str">
        <f aca="false">IF(AND($C1216="Treatment",$K1216=1),$L1216,"")</f>
        <v/>
      </c>
    </row>
    <row r="1217" customFormat="false" ht="15" hidden="false" customHeight="false" outlineLevel="0" collapsed="false">
      <c r="A1217" s="0" t="s">
        <v>1248</v>
      </c>
      <c r="B1217" s="2" t="n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0" t="n">
        <v>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P1217" s="0" t="n">
        <v>78.4</v>
      </c>
      <c r="Q1217" s="0" t="str">
        <f aca="false">IF($C1217="Control",$P1217,"")</f>
        <v/>
      </c>
      <c r="R1217" s="3" t="n">
        <f aca="false">IF($C1217="Treatment",$P1217,"")</f>
        <v>78.4</v>
      </c>
      <c r="S1217" s="0" t="str">
        <f aca="false">IF(AND($C1217="Control",$K1217=1),$L1217,"")</f>
        <v/>
      </c>
      <c r="T1217" s="0" t="str">
        <f aca="false">IF(AND($C1217="Treatment",$K1217=1),$L1217,"")</f>
        <v/>
      </c>
    </row>
    <row r="1218" customFormat="false" ht="15" hidden="false" customHeight="false" outlineLevel="0" collapsed="false">
      <c r="A1218" s="0" t="s">
        <v>1249</v>
      </c>
      <c r="B1218" s="2" t="n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P1218" s="0" t="n">
        <v>49.3</v>
      </c>
      <c r="Q1218" s="0" t="str">
        <f aca="false">IF($C1218="Control",$P1218,"")</f>
        <v/>
      </c>
      <c r="R1218" s="3" t="n">
        <f aca="false">IF($C1218="Treatment",$P1218,"")</f>
        <v>49.3</v>
      </c>
      <c r="S1218" s="0" t="str">
        <f aca="false">IF(AND($C1218="Control",$K1218=1),$L1218,"")</f>
        <v/>
      </c>
      <c r="T1218" s="0" t="str">
        <f aca="false">IF(AND($C1218="Treatment",$K1218=1),$L1218,"")</f>
        <v/>
      </c>
    </row>
    <row r="1219" customFormat="false" ht="15" hidden="false" customHeight="false" outlineLevel="0" collapsed="false">
      <c r="A1219" s="0" t="s">
        <v>1250</v>
      </c>
      <c r="B1219" s="2" t="n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P1219" s="0" t="n">
        <v>52.8</v>
      </c>
      <c r="Q1219" s="0" t="str">
        <f aca="false">IF($C1219="Control",$P1219,"")</f>
        <v/>
      </c>
      <c r="R1219" s="3" t="n">
        <f aca="false">IF($C1219="Treatment",$P1219,"")</f>
        <v>52.8</v>
      </c>
      <c r="S1219" s="0" t="str">
        <f aca="false">IF(AND($C1219="Control",$K1219=1),$L1219,"")</f>
        <v/>
      </c>
      <c r="T1219" s="0" t="str">
        <f aca="false">IF(AND($C1219="Treatment",$K1219=1),$L1219,"")</f>
        <v/>
      </c>
    </row>
    <row r="1220" customFormat="false" ht="15" hidden="false" customHeight="false" outlineLevel="0" collapsed="false">
      <c r="A1220" s="0" t="s">
        <v>1251</v>
      </c>
      <c r="B1220" s="2" t="n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P1220" s="0" t="n">
        <v>58.5</v>
      </c>
      <c r="Q1220" s="0" t="str">
        <f aca="false">IF($C1220="Control",$P1220,"")</f>
        <v/>
      </c>
      <c r="R1220" s="3" t="n">
        <f aca="false">IF($C1220="Treatment",$P1220,"")</f>
        <v>58.5</v>
      </c>
      <c r="S1220" s="0" t="str">
        <f aca="false">IF(AND($C1220="Control",$K1220=1),$L1220,"")</f>
        <v/>
      </c>
      <c r="T1220" s="0" t="str">
        <f aca="false">IF(AND($C1220="Treatment",$K1220=1),$L1220,"")</f>
        <v/>
      </c>
    </row>
    <row r="1221" customFormat="false" ht="15" hidden="false" customHeight="false" outlineLevel="0" collapsed="false">
      <c r="A1221" s="0" t="s">
        <v>1252</v>
      </c>
      <c r="B1221" s="2" t="n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0" t="n">
        <v>1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P1221" s="0" t="n">
        <v>55.9</v>
      </c>
      <c r="Q1221" s="0" t="str">
        <f aca="false">IF($C1221="Control",$P1221,"")</f>
        <v/>
      </c>
      <c r="R1221" s="3" t="n">
        <f aca="false">IF($C1221="Treatment",$P1221,"")</f>
        <v>55.9</v>
      </c>
      <c r="S1221" s="0" t="str">
        <f aca="false">IF(AND($C1221="Control",$K1221=1),$L1221,"")</f>
        <v/>
      </c>
      <c r="T1221" s="0" t="str">
        <f aca="false">IF(AND($C1221="Treatment",$K1221=1),$L1221,"")</f>
        <v/>
      </c>
    </row>
    <row r="1222" customFormat="false" ht="15" hidden="false" customHeight="false" outlineLevel="0" collapsed="false">
      <c r="A1222" s="0" t="s">
        <v>1253</v>
      </c>
      <c r="B1222" s="2" t="n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0" t="n">
        <v>1</v>
      </c>
      <c r="I1222" s="0" t="n">
        <v>1</v>
      </c>
      <c r="J1222" s="0" t="n">
        <v>1</v>
      </c>
      <c r="K1222" s="0" t="n">
        <v>1</v>
      </c>
      <c r="L1222" s="0" t="n">
        <v>351.43</v>
      </c>
      <c r="M1222" s="0" t="n">
        <v>1</v>
      </c>
      <c r="N1222" s="0" t="n">
        <v>0</v>
      </c>
      <c r="O1222" s="0" t="n">
        <v>6</v>
      </c>
      <c r="P1222" s="0" t="n">
        <v>74.9</v>
      </c>
      <c r="Q1222" s="0" t="str">
        <f aca="false">IF($C1222="Control",$P1222,"")</f>
        <v/>
      </c>
      <c r="R1222" s="3" t="n">
        <f aca="false">IF($C1222="Treatment",$P1222,"")</f>
        <v>74.9</v>
      </c>
      <c r="S1222" s="0" t="str">
        <f aca="false">IF(AND($C1222="Control",$K1222=1),$L1222,"")</f>
        <v/>
      </c>
      <c r="T1222" s="3" t="n">
        <f aca="false">IF(AND($C1222="Treatment",$K1222=1),$L1222,"")</f>
        <v>351.43</v>
      </c>
    </row>
    <row r="1223" customFormat="false" ht="15" hidden="false" customHeight="false" outlineLevel="0" collapsed="false">
      <c r="A1223" s="0" t="s">
        <v>1254</v>
      </c>
      <c r="B1223" s="2" t="n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0" t="n">
        <v>1</v>
      </c>
      <c r="I1223" s="0" t="n">
        <v>1</v>
      </c>
      <c r="J1223" s="0" t="n">
        <v>1</v>
      </c>
      <c r="K1223" s="0" t="n">
        <v>1</v>
      </c>
      <c r="L1223" s="0" t="n">
        <v>352.42</v>
      </c>
      <c r="M1223" s="0" t="n">
        <v>0</v>
      </c>
      <c r="N1223" s="0" t="n">
        <v>0</v>
      </c>
      <c r="O1223" s="0" t="n">
        <v>4</v>
      </c>
      <c r="P1223" s="0" t="n">
        <v>58.5</v>
      </c>
      <c r="Q1223" s="0" t="str">
        <f aca="false">IF($C1223="Control",$P1223,"")</f>
        <v/>
      </c>
      <c r="R1223" s="3" t="n">
        <f aca="false">IF($C1223="Treatment",$P1223,"")</f>
        <v>58.5</v>
      </c>
      <c r="S1223" s="0" t="str">
        <f aca="false">IF(AND($C1223="Control",$K1223=1),$L1223,"")</f>
        <v/>
      </c>
      <c r="T1223" s="3" t="n">
        <f aca="false">IF(AND($C1223="Treatment",$K1223=1),$L1223,"")</f>
        <v>352.42</v>
      </c>
    </row>
    <row r="1224" customFormat="false" ht="15" hidden="false" customHeight="false" outlineLevel="0" collapsed="false">
      <c r="A1224" s="0" t="s">
        <v>1255</v>
      </c>
      <c r="B1224" s="2" t="n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P1224" s="0" t="n">
        <v>63.5</v>
      </c>
      <c r="Q1224" s="0" t="str">
        <f aca="false">IF($C1224="Control",$P1224,"")</f>
        <v/>
      </c>
      <c r="R1224" s="3" t="n">
        <f aca="false">IF($C1224="Treatment",$P1224,"")</f>
        <v>63.5</v>
      </c>
      <c r="S1224" s="0" t="str">
        <f aca="false">IF(AND($C1224="Control",$K1224=1),$L1224,"")</f>
        <v/>
      </c>
      <c r="T1224" s="0" t="str">
        <f aca="false">IF(AND($C1224="Treatment",$K1224=1),$L1224,"")</f>
        <v/>
      </c>
    </row>
    <row r="1225" customFormat="false" ht="15" hidden="false" customHeight="false" outlineLevel="0" collapsed="false">
      <c r="A1225" s="0" t="s">
        <v>1256</v>
      </c>
      <c r="B1225" s="2" t="n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0" t="n">
        <v>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0</v>
      </c>
      <c r="P1225" s="0" t="n">
        <v>64.8</v>
      </c>
      <c r="Q1225" s="0" t="str">
        <f aca="false">IF($C1225="Control",$P1225,"")</f>
        <v/>
      </c>
      <c r="R1225" s="3" t="n">
        <f aca="false">IF($C1225="Treatment",$P1225,"")</f>
        <v>64.8</v>
      </c>
      <c r="S1225" s="0" t="str">
        <f aca="false">IF(AND($C1225="Control",$K1225=1),$L1225,"")</f>
        <v/>
      </c>
      <c r="T1225" s="0" t="str">
        <f aca="false">IF(AND($C1225="Treatment",$K1225=1),$L1225,"")</f>
        <v/>
      </c>
    </row>
    <row r="1226" customFormat="false" ht="15" hidden="false" customHeight="false" outlineLevel="0" collapsed="false">
      <c r="A1226" s="0" t="s">
        <v>1257</v>
      </c>
      <c r="B1226" s="2" t="n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P1226" s="0" t="n">
        <v>63.3</v>
      </c>
      <c r="Q1226" s="0" t="str">
        <f aca="false">IF($C1226="Control",$P1226,"")</f>
        <v/>
      </c>
      <c r="R1226" s="3" t="n">
        <f aca="false">IF($C1226="Treatment",$P1226,"")</f>
        <v>63.3</v>
      </c>
      <c r="S1226" s="0" t="str">
        <f aca="false">IF(AND($C1226="Control",$K1226=1),$L1226,"")</f>
        <v/>
      </c>
      <c r="T1226" s="0" t="str">
        <f aca="false">IF(AND($C1226="Treatment",$K1226=1),$L1226,"")</f>
        <v/>
      </c>
    </row>
    <row r="1227" customFormat="false" ht="15" hidden="false" customHeight="false" outlineLevel="0" collapsed="false">
      <c r="A1227" s="0" t="s">
        <v>1258</v>
      </c>
      <c r="B1227" s="2" t="n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0" t="n">
        <v>1</v>
      </c>
      <c r="I1227" s="0" t="n">
        <v>1</v>
      </c>
      <c r="J1227" s="0" t="n">
        <v>1</v>
      </c>
      <c r="K1227" s="0" t="n">
        <v>1</v>
      </c>
      <c r="L1227" s="0" t="n">
        <v>1074.16</v>
      </c>
      <c r="M1227" s="0" t="n">
        <v>0</v>
      </c>
      <c r="N1227" s="0" t="n">
        <v>0</v>
      </c>
      <c r="O1227" s="0" t="n">
        <v>8</v>
      </c>
      <c r="P1227" s="0" t="n">
        <v>83.7</v>
      </c>
      <c r="Q1227" s="0" t="str">
        <f aca="false">IF($C1227="Control",$P1227,"")</f>
        <v/>
      </c>
      <c r="R1227" s="3" t="n">
        <f aca="false">IF($C1227="Treatment",$P1227,"")</f>
        <v>83.7</v>
      </c>
      <c r="S1227" s="0" t="str">
        <f aca="false">IF(AND($C1227="Control",$K1227=1),$L1227,"")</f>
        <v/>
      </c>
      <c r="T1227" s="3" t="n">
        <f aca="false">IF(AND($C1227="Treatment",$K1227=1),$L1227,"")</f>
        <v>1074.16</v>
      </c>
    </row>
    <row r="1228" customFormat="false" ht="15" hidden="false" customHeight="false" outlineLevel="0" collapsed="false">
      <c r="A1228" s="0" t="s">
        <v>1259</v>
      </c>
      <c r="B1228" s="2" t="n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P1228" s="0" t="n">
        <v>88.7</v>
      </c>
      <c r="Q1228" s="0" t="str">
        <f aca="false">IF($C1228="Control",$P1228,"")</f>
        <v/>
      </c>
      <c r="R1228" s="3" t="n">
        <f aca="false">IF($C1228="Treatment",$P1228,"")</f>
        <v>88.7</v>
      </c>
      <c r="S1228" s="0" t="str">
        <f aca="false">IF(AND($C1228="Control",$K1228=1),$L1228,"")</f>
        <v/>
      </c>
      <c r="T1228" s="0" t="str">
        <f aca="false">IF(AND($C1228="Treatment",$K1228=1),$L1228,"")</f>
        <v/>
      </c>
    </row>
    <row r="1229" customFormat="false" ht="15" hidden="false" customHeight="false" outlineLevel="0" collapsed="false">
      <c r="A1229" s="0" t="s">
        <v>1260</v>
      </c>
      <c r="B1229" s="2" t="n">
        <v>45739</v>
      </c>
      <c r="C1229" s="3" t="s">
        <v>723</v>
      </c>
      <c r="D1229" s="3" t="s">
        <v>28</v>
      </c>
      <c r="E1229" s="3" t="s">
        <v>1470</v>
      </c>
      <c r="F1229" s="3" t="s">
        <v>29</v>
      </c>
      <c r="G1229" s="3" t="s">
        <v>26</v>
      </c>
      <c r="H1229" s="0" t="n">
        <v>1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0</v>
      </c>
      <c r="P1229" s="0" t="n">
        <v>61.5</v>
      </c>
      <c r="Q1229" s="0" t="str">
        <f aca="false">IF($C1229="Control",$P1229,"")</f>
        <v/>
      </c>
      <c r="R1229" s="3" t="n">
        <f aca="false">IF($C1229="Treatment",$P1229,"")</f>
        <v>61.5</v>
      </c>
      <c r="S1229" s="0" t="str">
        <f aca="false">IF(AND($C1229="Control",$K1229=1),$L1229,"")</f>
        <v/>
      </c>
      <c r="T1229" s="0" t="str">
        <f aca="false">IF(AND($C1229="Treatment",$K1229=1),$L1229,"")</f>
        <v/>
      </c>
    </row>
    <row r="1230" customFormat="false" ht="15" hidden="false" customHeight="false" outlineLevel="0" collapsed="false">
      <c r="A1230" s="0" t="s">
        <v>1261</v>
      </c>
      <c r="B1230" s="2" t="n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P1230" s="0" t="n">
        <v>45.3</v>
      </c>
      <c r="Q1230" s="0" t="str">
        <f aca="false">IF($C1230="Control",$P1230,"")</f>
        <v/>
      </c>
      <c r="R1230" s="3" t="n">
        <f aca="false">IF($C1230="Treatment",$P1230,"")</f>
        <v>45.3</v>
      </c>
      <c r="S1230" s="0" t="str">
        <f aca="false">IF(AND($C1230="Control",$K1230=1),$L1230,"")</f>
        <v/>
      </c>
      <c r="T1230" s="0" t="str">
        <f aca="false">IF(AND($C1230="Treatment",$K1230=1),$L1230,"")</f>
        <v/>
      </c>
    </row>
    <row r="1231" customFormat="false" ht="15" hidden="false" customHeight="false" outlineLevel="0" collapsed="false">
      <c r="A1231" s="0" t="s">
        <v>1262</v>
      </c>
      <c r="B1231" s="2" t="n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0" t="n">
        <v>1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P1231" s="0" t="n">
        <v>37.3</v>
      </c>
      <c r="Q1231" s="0" t="str">
        <f aca="false">IF($C1231="Control",$P1231,"")</f>
        <v/>
      </c>
      <c r="R1231" s="3" t="n">
        <f aca="false">IF($C1231="Treatment",$P1231,"")</f>
        <v>37.3</v>
      </c>
      <c r="S1231" s="0" t="str">
        <f aca="false">IF(AND($C1231="Control",$K1231=1),$L1231,"")</f>
        <v/>
      </c>
      <c r="T1231" s="0" t="str">
        <f aca="false">IF(AND($C1231="Treatment",$K1231=1),$L1231,"")</f>
        <v/>
      </c>
    </row>
    <row r="1232" customFormat="false" ht="15" hidden="false" customHeight="false" outlineLevel="0" collapsed="false">
      <c r="A1232" s="0" t="s">
        <v>1263</v>
      </c>
      <c r="B1232" s="2" t="n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0" t="n">
        <v>1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0</v>
      </c>
      <c r="P1232" s="0" t="n">
        <v>76.1</v>
      </c>
      <c r="Q1232" s="0" t="str">
        <f aca="false">IF($C1232="Control",$P1232,"")</f>
        <v/>
      </c>
      <c r="R1232" s="3" t="n">
        <f aca="false">IF($C1232="Treatment",$P1232,"")</f>
        <v>76.1</v>
      </c>
      <c r="S1232" s="0" t="str">
        <f aca="false">IF(AND($C1232="Control",$K1232=1),$L1232,"")</f>
        <v/>
      </c>
      <c r="T1232" s="0" t="str">
        <f aca="false">IF(AND($C1232="Treatment",$K1232=1),$L1232,"")</f>
        <v/>
      </c>
    </row>
    <row r="1233" customFormat="false" ht="15" hidden="false" customHeight="false" outlineLevel="0" collapsed="false">
      <c r="A1233" s="0" t="s">
        <v>1264</v>
      </c>
      <c r="B1233" s="2" t="n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0" t="n">
        <v>1</v>
      </c>
      <c r="I1233" s="0" t="n">
        <v>1</v>
      </c>
      <c r="J1233" s="0" t="n">
        <v>1</v>
      </c>
      <c r="K1233" s="0" t="n">
        <v>0</v>
      </c>
      <c r="L1233" s="0" t="n">
        <v>0</v>
      </c>
      <c r="M1233" s="0" t="n">
        <v>1</v>
      </c>
      <c r="N1233" s="0" t="n">
        <v>0</v>
      </c>
      <c r="P1233" s="0" t="n">
        <v>72.5</v>
      </c>
      <c r="Q1233" s="0" t="str">
        <f aca="false">IF($C1233="Control",$P1233,"")</f>
        <v/>
      </c>
      <c r="R1233" s="3" t="n">
        <f aca="false">IF($C1233="Treatment",$P1233,"")</f>
        <v>72.5</v>
      </c>
      <c r="S1233" s="0" t="str">
        <f aca="false">IF(AND($C1233="Control",$K1233=1),$L1233,"")</f>
        <v/>
      </c>
      <c r="T1233" s="0" t="str">
        <f aca="false">IF(AND($C1233="Treatment",$K1233=1),$L1233,"")</f>
        <v/>
      </c>
    </row>
    <row r="1234" customFormat="false" ht="15" hidden="false" customHeight="false" outlineLevel="0" collapsed="false">
      <c r="A1234" s="0" t="s">
        <v>1265</v>
      </c>
      <c r="B1234" s="2" t="n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0" t="n">
        <v>1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P1234" s="0" t="n">
        <v>62.3</v>
      </c>
      <c r="Q1234" s="0" t="str">
        <f aca="false">IF($C1234="Control",$P1234,"")</f>
        <v/>
      </c>
      <c r="R1234" s="3" t="n">
        <f aca="false">IF($C1234="Treatment",$P1234,"")</f>
        <v>62.3</v>
      </c>
      <c r="S1234" s="0" t="str">
        <f aca="false">IF(AND($C1234="Control",$K1234=1),$L1234,"")</f>
        <v/>
      </c>
      <c r="T1234" s="0" t="str">
        <f aca="false">IF(AND($C1234="Treatment",$K1234=1),$L1234,"")</f>
        <v/>
      </c>
    </row>
    <row r="1235" customFormat="false" ht="15" hidden="false" customHeight="false" outlineLevel="0" collapsed="false">
      <c r="A1235" s="0" t="s">
        <v>1266</v>
      </c>
      <c r="B1235" s="2" t="n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P1235" s="0" t="n">
        <v>62.7</v>
      </c>
      <c r="Q1235" s="0" t="str">
        <f aca="false">IF($C1235="Control",$P1235,"")</f>
        <v/>
      </c>
      <c r="R1235" s="3" t="n">
        <f aca="false">IF($C1235="Treatment",$P1235,"")</f>
        <v>62.7</v>
      </c>
      <c r="S1235" s="0" t="str">
        <f aca="false">IF(AND($C1235="Control",$K1235=1),$L1235,"")</f>
        <v/>
      </c>
      <c r="T1235" s="0" t="str">
        <f aca="false">IF(AND($C1235="Treatment",$K1235=1),$L1235,"")</f>
        <v/>
      </c>
    </row>
    <row r="1236" customFormat="false" ht="15" hidden="false" customHeight="false" outlineLevel="0" collapsed="false">
      <c r="A1236" s="0" t="s">
        <v>1267</v>
      </c>
      <c r="B1236" s="2" t="n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P1236" s="0" t="n">
        <v>82.4</v>
      </c>
      <c r="Q1236" s="0" t="str">
        <f aca="false">IF($C1236="Control",$P1236,"")</f>
        <v/>
      </c>
      <c r="R1236" s="3" t="n">
        <f aca="false">IF($C1236="Treatment",$P1236,"")</f>
        <v>82.4</v>
      </c>
      <c r="S1236" s="0" t="str">
        <f aca="false">IF(AND($C1236="Control",$K1236=1),$L1236,"")</f>
        <v/>
      </c>
      <c r="T1236" s="0" t="str">
        <f aca="false">IF(AND($C1236="Treatment",$K1236=1),$L1236,"")</f>
        <v/>
      </c>
    </row>
    <row r="1237" customFormat="false" ht="15" hidden="false" customHeight="false" outlineLevel="0" collapsed="false">
      <c r="A1237" s="0" t="s">
        <v>1268</v>
      </c>
      <c r="B1237" s="2" t="n">
        <v>45693</v>
      </c>
      <c r="C1237" s="3" t="s">
        <v>723</v>
      </c>
      <c r="D1237" s="3" t="s">
        <v>23</v>
      </c>
      <c r="E1237" s="3" t="s">
        <v>24</v>
      </c>
      <c r="F1237" s="3" t="s">
        <v>1470</v>
      </c>
      <c r="G1237" s="3" t="s">
        <v>30</v>
      </c>
      <c r="H1237" s="0" t="n">
        <v>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P1237" s="0" t="n">
        <v>78.9</v>
      </c>
      <c r="Q1237" s="0" t="str">
        <f aca="false">IF($C1237="Control",$P1237,"")</f>
        <v/>
      </c>
      <c r="R1237" s="3" t="n">
        <f aca="false">IF($C1237="Treatment",$P1237,"")</f>
        <v>78.9</v>
      </c>
      <c r="S1237" s="0" t="str">
        <f aca="false">IF(AND($C1237="Control",$K1237=1),$L1237,"")</f>
        <v/>
      </c>
      <c r="T1237" s="0" t="str">
        <f aca="false">IF(AND($C1237="Treatment",$K1237=1),$L1237,"")</f>
        <v/>
      </c>
    </row>
    <row r="1238" customFormat="false" ht="15" hidden="false" customHeight="false" outlineLevel="0" collapsed="false">
      <c r="A1238" s="0" t="s">
        <v>1269</v>
      </c>
      <c r="B1238" s="2" t="n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0" t="n">
        <v>1</v>
      </c>
      <c r="I1238" s="0" t="n">
        <v>1</v>
      </c>
      <c r="J1238" s="0" t="n">
        <v>1</v>
      </c>
      <c r="K1238" s="0" t="n">
        <v>1</v>
      </c>
      <c r="L1238" s="0" t="n">
        <v>618.91</v>
      </c>
      <c r="M1238" s="0" t="n">
        <v>0</v>
      </c>
      <c r="N1238" s="0" t="n">
        <v>0</v>
      </c>
      <c r="O1238" s="0" t="n">
        <v>4</v>
      </c>
      <c r="P1238" s="0" t="n">
        <v>67.8</v>
      </c>
      <c r="Q1238" s="0" t="str">
        <f aca="false">IF($C1238="Control",$P1238,"")</f>
        <v/>
      </c>
      <c r="R1238" s="3" t="n">
        <f aca="false">IF($C1238="Treatment",$P1238,"")</f>
        <v>67.8</v>
      </c>
      <c r="S1238" s="0" t="str">
        <f aca="false">IF(AND($C1238="Control",$K1238=1),$L1238,"")</f>
        <v/>
      </c>
      <c r="T1238" s="3" t="n">
        <f aca="false">IF(AND($C1238="Treatment",$K1238=1),$L1238,"")</f>
        <v>618.91</v>
      </c>
    </row>
    <row r="1239" customFormat="false" ht="15" hidden="false" customHeight="false" outlineLevel="0" collapsed="false">
      <c r="A1239" s="0" t="s">
        <v>1270</v>
      </c>
      <c r="B1239" s="2" t="n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0" t="n">
        <v>1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P1239" s="0" t="n">
        <v>68.8</v>
      </c>
      <c r="Q1239" s="0" t="str">
        <f aca="false">IF($C1239="Control",$P1239,"")</f>
        <v/>
      </c>
      <c r="R1239" s="3" t="n">
        <f aca="false">IF($C1239="Treatment",$P1239,"")</f>
        <v>68.8</v>
      </c>
      <c r="S1239" s="0" t="str">
        <f aca="false">IF(AND($C1239="Control",$K1239=1),$L1239,"")</f>
        <v/>
      </c>
      <c r="T1239" s="0" t="str">
        <f aca="false">IF(AND($C1239="Treatment",$K1239=1),$L1239,"")</f>
        <v/>
      </c>
    </row>
    <row r="1240" customFormat="false" ht="15" hidden="false" customHeight="false" outlineLevel="0" collapsed="false">
      <c r="A1240" s="0" t="s">
        <v>1271</v>
      </c>
      <c r="B1240" s="2" t="n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0" t="n">
        <v>1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P1240" s="0" t="n">
        <v>67.7</v>
      </c>
      <c r="Q1240" s="0" t="str">
        <f aca="false">IF($C1240="Control",$P1240,"")</f>
        <v/>
      </c>
      <c r="R1240" s="3" t="n">
        <f aca="false">IF($C1240="Treatment",$P1240,"")</f>
        <v>67.7</v>
      </c>
      <c r="S1240" s="0" t="str">
        <f aca="false">IF(AND($C1240="Control",$K1240=1),$L1240,"")</f>
        <v/>
      </c>
      <c r="T1240" s="0" t="str">
        <f aca="false">IF(AND($C1240="Treatment",$K1240=1),$L1240,"")</f>
        <v/>
      </c>
    </row>
    <row r="1241" customFormat="false" ht="15" hidden="false" customHeight="false" outlineLevel="0" collapsed="false">
      <c r="A1241" s="0" t="s">
        <v>1272</v>
      </c>
      <c r="B1241" s="2" t="n">
        <v>45711</v>
      </c>
      <c r="C1241" s="3" t="s">
        <v>723</v>
      </c>
      <c r="D1241" s="3" t="s">
        <v>28</v>
      </c>
      <c r="E1241" s="3" t="s">
        <v>24</v>
      </c>
      <c r="F1241" s="3" t="s">
        <v>1470</v>
      </c>
      <c r="G1241" s="3" t="s">
        <v>26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P1241" s="0" t="n">
        <v>88</v>
      </c>
      <c r="Q1241" s="0" t="str">
        <f aca="false">IF($C1241="Control",$P1241,"")</f>
        <v/>
      </c>
      <c r="R1241" s="3" t="n">
        <f aca="false">IF($C1241="Treatment",$P1241,"")</f>
        <v>88</v>
      </c>
      <c r="S1241" s="0" t="str">
        <f aca="false">IF(AND($C1241="Control",$K1241=1),$L1241,"")</f>
        <v/>
      </c>
      <c r="T1241" s="0" t="str">
        <f aca="false">IF(AND($C1241="Treatment",$K1241=1),$L1241,"")</f>
        <v/>
      </c>
    </row>
    <row r="1242" customFormat="false" ht="15" hidden="false" customHeight="false" outlineLevel="0" collapsed="false">
      <c r="A1242" s="0" t="s">
        <v>1273</v>
      </c>
      <c r="B1242" s="2" t="n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0" t="n">
        <v>1</v>
      </c>
      <c r="I1242" s="0" t="n">
        <v>1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P1242" s="0" t="n">
        <v>80.1</v>
      </c>
      <c r="Q1242" s="0" t="str">
        <f aca="false">IF($C1242="Control",$P1242,"")</f>
        <v/>
      </c>
      <c r="R1242" s="3" t="n">
        <f aca="false">IF($C1242="Treatment",$P1242,"")</f>
        <v>80.1</v>
      </c>
      <c r="S1242" s="0" t="str">
        <f aca="false">IF(AND($C1242="Control",$K1242=1),$L1242,"")</f>
        <v/>
      </c>
      <c r="T1242" s="0" t="str">
        <f aca="false">IF(AND($C1242="Treatment",$K1242=1),$L1242,"")</f>
        <v/>
      </c>
    </row>
    <row r="1243" customFormat="false" ht="15" hidden="false" customHeight="false" outlineLevel="0" collapsed="false">
      <c r="A1243" s="0" t="s">
        <v>1274</v>
      </c>
      <c r="B1243" s="2" t="n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0</v>
      </c>
      <c r="P1243" s="0" t="n">
        <v>48.2</v>
      </c>
      <c r="Q1243" s="0" t="str">
        <f aca="false">IF($C1243="Control",$P1243,"")</f>
        <v/>
      </c>
      <c r="R1243" s="3" t="n">
        <f aca="false">IF($C1243="Treatment",$P1243,"")</f>
        <v>48.2</v>
      </c>
      <c r="S1243" s="0" t="str">
        <f aca="false">IF(AND($C1243="Control",$K1243=1),$L1243,"")</f>
        <v/>
      </c>
      <c r="T1243" s="0" t="str">
        <f aca="false">IF(AND($C1243="Treatment",$K1243=1),$L1243,"")</f>
        <v/>
      </c>
    </row>
    <row r="1244" customFormat="false" ht="15" hidden="false" customHeight="false" outlineLevel="0" collapsed="false">
      <c r="A1244" s="0" t="s">
        <v>1275</v>
      </c>
      <c r="B1244" s="2" t="n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0" t="n">
        <v>1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P1244" s="0" t="n">
        <v>52.7</v>
      </c>
      <c r="Q1244" s="0" t="str">
        <f aca="false">IF($C1244="Control",$P1244,"")</f>
        <v/>
      </c>
      <c r="R1244" s="3" t="n">
        <f aca="false">IF($C1244="Treatment",$P1244,"")</f>
        <v>52.7</v>
      </c>
      <c r="S1244" s="0" t="str">
        <f aca="false">IF(AND($C1244="Control",$K1244=1),$L1244,"")</f>
        <v/>
      </c>
      <c r="T1244" s="0" t="str">
        <f aca="false">IF(AND($C1244="Treatment",$K1244=1),$L1244,"")</f>
        <v/>
      </c>
    </row>
    <row r="1245" customFormat="false" ht="15" hidden="false" customHeight="false" outlineLevel="0" collapsed="false">
      <c r="A1245" s="0" t="s">
        <v>1276</v>
      </c>
      <c r="B1245" s="2" t="n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0" t="n">
        <v>1</v>
      </c>
      <c r="I1245" s="0" t="n">
        <v>1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P1245" s="0" t="n">
        <v>59.9</v>
      </c>
      <c r="Q1245" s="0" t="str">
        <f aca="false">IF($C1245="Control",$P1245,"")</f>
        <v/>
      </c>
      <c r="R1245" s="3" t="n">
        <f aca="false">IF($C1245="Treatment",$P1245,"")</f>
        <v>59.9</v>
      </c>
      <c r="S1245" s="0" t="str">
        <f aca="false">IF(AND($C1245="Control",$K1245=1),$L1245,"")</f>
        <v/>
      </c>
      <c r="T1245" s="0" t="str">
        <f aca="false">IF(AND($C1245="Treatment",$K1245=1),$L1245,"")</f>
        <v/>
      </c>
    </row>
    <row r="1246" customFormat="false" ht="15" hidden="false" customHeight="false" outlineLevel="0" collapsed="false">
      <c r="A1246" s="0" t="s">
        <v>1277</v>
      </c>
      <c r="B1246" s="2" t="n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0" t="n">
        <v>1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P1246" s="0" t="n">
        <v>49.5</v>
      </c>
      <c r="Q1246" s="0" t="str">
        <f aca="false">IF($C1246="Control",$P1246,"")</f>
        <v/>
      </c>
      <c r="R1246" s="3" t="n">
        <f aca="false">IF($C1246="Treatment",$P1246,"")</f>
        <v>49.5</v>
      </c>
      <c r="S1246" s="0" t="str">
        <f aca="false">IF(AND($C1246="Control",$K1246=1),$L1246,"")</f>
        <v/>
      </c>
      <c r="T1246" s="0" t="str">
        <f aca="false">IF(AND($C1246="Treatment",$K1246=1),$L1246,"")</f>
        <v/>
      </c>
    </row>
    <row r="1247" customFormat="false" ht="15" hidden="false" customHeight="false" outlineLevel="0" collapsed="false">
      <c r="A1247" s="0" t="s">
        <v>1278</v>
      </c>
      <c r="B1247" s="2" t="n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0" t="n">
        <v>1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P1247" s="0" t="n">
        <v>41.5</v>
      </c>
      <c r="Q1247" s="0" t="str">
        <f aca="false">IF($C1247="Control",$P1247,"")</f>
        <v/>
      </c>
      <c r="R1247" s="3" t="n">
        <f aca="false">IF($C1247="Treatment",$P1247,"")</f>
        <v>41.5</v>
      </c>
      <c r="S1247" s="0" t="str">
        <f aca="false">IF(AND($C1247="Control",$K1247=1),$L1247,"")</f>
        <v/>
      </c>
      <c r="T1247" s="0" t="str">
        <f aca="false">IF(AND($C1247="Treatment",$K1247=1),$L1247,"")</f>
        <v/>
      </c>
    </row>
    <row r="1248" customFormat="false" ht="15" hidden="false" customHeight="false" outlineLevel="0" collapsed="false">
      <c r="A1248" s="0" t="s">
        <v>1279</v>
      </c>
      <c r="B1248" s="2" t="n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0" t="n">
        <v>1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P1248" s="0" t="n">
        <v>71.2</v>
      </c>
      <c r="Q1248" s="0" t="str">
        <f aca="false">IF($C1248="Control",$P1248,"")</f>
        <v/>
      </c>
      <c r="R1248" s="3" t="n">
        <f aca="false">IF($C1248="Treatment",$P1248,"")</f>
        <v>71.2</v>
      </c>
      <c r="S1248" s="0" t="str">
        <f aca="false">IF(AND($C1248="Control",$K1248=1),$L1248,"")</f>
        <v/>
      </c>
      <c r="T1248" s="0" t="str">
        <f aca="false">IF(AND($C1248="Treatment",$K1248=1),$L1248,"")</f>
        <v/>
      </c>
    </row>
    <row r="1249" customFormat="false" ht="15" hidden="false" customHeight="false" outlineLevel="0" collapsed="false">
      <c r="A1249" s="0" t="s">
        <v>1280</v>
      </c>
      <c r="B1249" s="2" t="n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0" t="n">
        <v>1</v>
      </c>
      <c r="I1249" s="0" t="n">
        <v>1</v>
      </c>
      <c r="J1249" s="0" t="n">
        <v>1</v>
      </c>
      <c r="K1249" s="0" t="n">
        <v>0</v>
      </c>
      <c r="L1249" s="0" t="n">
        <v>0</v>
      </c>
      <c r="M1249" s="0" t="n">
        <v>0</v>
      </c>
      <c r="N1249" s="0" t="n">
        <v>0</v>
      </c>
      <c r="P1249" s="0" t="n">
        <v>65.8</v>
      </c>
      <c r="Q1249" s="0" t="str">
        <f aca="false">IF($C1249="Control",$P1249,"")</f>
        <v/>
      </c>
      <c r="R1249" s="3" t="n">
        <f aca="false">IF($C1249="Treatment",$P1249,"")</f>
        <v>65.8</v>
      </c>
      <c r="S1249" s="0" t="str">
        <f aca="false">IF(AND($C1249="Control",$K1249=1),$L1249,"")</f>
        <v/>
      </c>
      <c r="T1249" s="0" t="str">
        <f aca="false">IF(AND($C1249="Treatment",$K1249=1),$L1249,"")</f>
        <v/>
      </c>
    </row>
    <row r="1250" customFormat="false" ht="15" hidden="false" customHeight="false" outlineLevel="0" collapsed="false">
      <c r="A1250" s="0" t="s">
        <v>1281</v>
      </c>
      <c r="B1250" s="2" t="n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0" t="n">
        <v>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0</v>
      </c>
      <c r="P1250" s="0" t="n">
        <v>55.1</v>
      </c>
      <c r="Q1250" s="0" t="str">
        <f aca="false">IF($C1250="Control",$P1250,"")</f>
        <v/>
      </c>
      <c r="R1250" s="3" t="n">
        <f aca="false">IF($C1250="Treatment",$P1250,"")</f>
        <v>55.1</v>
      </c>
      <c r="S1250" s="0" t="str">
        <f aca="false">IF(AND($C1250="Control",$K1250=1),$L1250,"")</f>
        <v/>
      </c>
      <c r="T1250" s="0" t="str">
        <f aca="false">IF(AND($C1250="Treatment",$K1250=1),$L1250,"")</f>
        <v/>
      </c>
    </row>
    <row r="1251" customFormat="false" ht="15" hidden="false" customHeight="false" outlineLevel="0" collapsed="false">
      <c r="A1251" s="0" t="s">
        <v>1282</v>
      </c>
      <c r="B1251" s="2" t="n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0" t="n">
        <v>1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P1251" s="0" t="n">
        <v>54.6</v>
      </c>
      <c r="Q1251" s="0" t="str">
        <f aca="false">IF($C1251="Control",$P1251,"")</f>
        <v/>
      </c>
      <c r="R1251" s="3" t="n">
        <f aca="false">IF($C1251="Treatment",$P1251,"")</f>
        <v>54.6</v>
      </c>
      <c r="S1251" s="0" t="str">
        <f aca="false">IF(AND($C1251="Control",$K1251=1),$L1251,"")</f>
        <v/>
      </c>
      <c r="T1251" s="0" t="str">
        <f aca="false">IF(AND($C1251="Treatment",$K1251=1),$L1251,"")</f>
        <v/>
      </c>
    </row>
    <row r="1252" customFormat="false" ht="15" hidden="false" customHeight="false" outlineLevel="0" collapsed="false">
      <c r="A1252" s="0" t="s">
        <v>1283</v>
      </c>
      <c r="B1252" s="2" t="n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0" t="n">
        <v>1</v>
      </c>
      <c r="I1252" s="0" t="n">
        <v>1</v>
      </c>
      <c r="J1252" s="0" t="n">
        <v>1</v>
      </c>
      <c r="K1252" s="0" t="n">
        <v>1</v>
      </c>
      <c r="L1252" s="0" t="n">
        <v>923.67</v>
      </c>
      <c r="M1252" s="0" t="n">
        <v>0</v>
      </c>
      <c r="N1252" s="0" t="n">
        <v>0</v>
      </c>
      <c r="O1252" s="0" t="n">
        <v>4</v>
      </c>
      <c r="P1252" s="0" t="n">
        <v>81.9</v>
      </c>
      <c r="Q1252" s="0" t="str">
        <f aca="false">IF($C1252="Control",$P1252,"")</f>
        <v/>
      </c>
      <c r="R1252" s="3" t="n">
        <f aca="false">IF($C1252="Treatment",$P1252,"")</f>
        <v>81.9</v>
      </c>
      <c r="S1252" s="0" t="str">
        <f aca="false">IF(AND($C1252="Control",$K1252=1),$L1252,"")</f>
        <v/>
      </c>
      <c r="T1252" s="3" t="n">
        <f aca="false">IF(AND($C1252="Treatment",$K1252=1),$L1252,"")</f>
        <v>923.67</v>
      </c>
    </row>
    <row r="1253" customFormat="false" ht="15" hidden="false" customHeight="false" outlineLevel="0" collapsed="false">
      <c r="A1253" s="0" t="s">
        <v>1284</v>
      </c>
      <c r="B1253" s="2" t="n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0" t="n">
        <v>1</v>
      </c>
      <c r="I1253" s="0" t="n">
        <v>1</v>
      </c>
      <c r="J1253" s="0" t="n">
        <v>0</v>
      </c>
      <c r="K1253" s="0" t="n">
        <v>0</v>
      </c>
      <c r="L1253" s="0" t="n">
        <v>0</v>
      </c>
      <c r="M1253" s="0" t="n">
        <v>3</v>
      </c>
      <c r="N1253" s="0" t="n">
        <v>0</v>
      </c>
      <c r="P1253" s="0" t="n">
        <v>63.2</v>
      </c>
      <c r="Q1253" s="0" t="str">
        <f aca="false">IF($C1253="Control",$P1253,"")</f>
        <v/>
      </c>
      <c r="R1253" s="3" t="n">
        <f aca="false">IF($C1253="Treatment",$P1253,"")</f>
        <v>63.2</v>
      </c>
      <c r="S1253" s="0" t="str">
        <f aca="false">IF(AND($C1253="Control",$K1253=1),$L1253,"")</f>
        <v/>
      </c>
      <c r="T1253" s="0" t="str">
        <f aca="false">IF(AND($C1253="Treatment",$K1253=1),$L1253,"")</f>
        <v/>
      </c>
    </row>
    <row r="1254" customFormat="false" ht="15" hidden="false" customHeight="false" outlineLevel="0" collapsed="false">
      <c r="A1254" s="0" t="s">
        <v>1285</v>
      </c>
      <c r="B1254" s="2" t="n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0" t="n">
        <v>1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P1254" s="0" t="n">
        <v>55.4</v>
      </c>
      <c r="Q1254" s="0" t="str">
        <f aca="false">IF($C1254="Control",$P1254,"")</f>
        <v/>
      </c>
      <c r="R1254" s="3" t="n">
        <f aca="false">IF($C1254="Treatment",$P1254,"")</f>
        <v>55.4</v>
      </c>
      <c r="S1254" s="0" t="str">
        <f aca="false">IF(AND($C1254="Control",$K1254=1),$L1254,"")</f>
        <v/>
      </c>
      <c r="T1254" s="0" t="str">
        <f aca="false">IF(AND($C1254="Treatment",$K1254=1),$L1254,"")</f>
        <v/>
      </c>
    </row>
    <row r="1255" customFormat="false" ht="15" hidden="false" customHeight="false" outlineLevel="0" collapsed="false">
      <c r="A1255" s="0" t="s">
        <v>1286</v>
      </c>
      <c r="B1255" s="2" t="n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P1255" s="0" t="n">
        <v>87.5</v>
      </c>
      <c r="Q1255" s="0" t="str">
        <f aca="false">IF($C1255="Control",$P1255,"")</f>
        <v/>
      </c>
      <c r="R1255" s="3" t="n">
        <f aca="false">IF($C1255="Treatment",$P1255,"")</f>
        <v>87.5</v>
      </c>
      <c r="S1255" s="0" t="str">
        <f aca="false">IF(AND($C1255="Control",$K1255=1),$L1255,"")</f>
        <v/>
      </c>
      <c r="T1255" s="0" t="str">
        <f aca="false">IF(AND($C1255="Treatment",$K1255=1),$L1255,"")</f>
        <v/>
      </c>
    </row>
    <row r="1256" customFormat="false" ht="15" hidden="false" customHeight="false" outlineLevel="0" collapsed="false">
      <c r="A1256" s="0" t="s">
        <v>1287</v>
      </c>
      <c r="B1256" s="2" t="n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0" t="n">
        <v>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P1256" s="0" t="n">
        <v>48.5</v>
      </c>
      <c r="Q1256" s="0" t="str">
        <f aca="false">IF($C1256="Control",$P1256,"")</f>
        <v/>
      </c>
      <c r="R1256" s="3" t="n">
        <f aca="false">IF($C1256="Treatment",$P1256,"")</f>
        <v>48.5</v>
      </c>
      <c r="S1256" s="0" t="str">
        <f aca="false">IF(AND($C1256="Control",$K1256=1),$L1256,"")</f>
        <v/>
      </c>
      <c r="T1256" s="0" t="str">
        <f aca="false">IF(AND($C1256="Treatment",$K1256=1),$L1256,"")</f>
        <v/>
      </c>
    </row>
    <row r="1257" customFormat="false" ht="15" hidden="false" customHeight="false" outlineLevel="0" collapsed="false">
      <c r="A1257" s="0" t="s">
        <v>1288</v>
      </c>
      <c r="B1257" s="2" t="n">
        <v>45684</v>
      </c>
      <c r="C1257" s="3" t="s">
        <v>723</v>
      </c>
      <c r="D1257" s="3" t="s">
        <v>28</v>
      </c>
      <c r="E1257" s="3" t="s">
        <v>19</v>
      </c>
      <c r="F1257" s="3" t="s">
        <v>1470</v>
      </c>
      <c r="G1257" s="3" t="s">
        <v>26</v>
      </c>
      <c r="H1257" s="0" t="n">
        <v>1</v>
      </c>
      <c r="I1257" s="0" t="n">
        <v>1</v>
      </c>
      <c r="J1257" s="0" t="n">
        <v>1</v>
      </c>
      <c r="K1257" s="0" t="n">
        <v>1</v>
      </c>
      <c r="L1257" s="0" t="n">
        <v>420.27</v>
      </c>
      <c r="M1257" s="0" t="n">
        <v>0</v>
      </c>
      <c r="N1257" s="0" t="n">
        <v>0</v>
      </c>
      <c r="O1257" s="0" t="n">
        <v>6</v>
      </c>
      <c r="P1257" s="0" t="n">
        <v>58.4</v>
      </c>
      <c r="Q1257" s="0" t="str">
        <f aca="false">IF($C1257="Control",$P1257,"")</f>
        <v/>
      </c>
      <c r="R1257" s="3" t="n">
        <f aca="false">IF($C1257="Treatment",$P1257,"")</f>
        <v>58.4</v>
      </c>
      <c r="S1257" s="0" t="str">
        <f aca="false">IF(AND($C1257="Control",$K1257=1),$L1257,"")</f>
        <v/>
      </c>
      <c r="T1257" s="3" t="n">
        <f aca="false">IF(AND($C1257="Treatment",$K1257=1),$L1257,"")</f>
        <v>420.27</v>
      </c>
    </row>
    <row r="1258" customFormat="false" ht="15" hidden="false" customHeight="false" outlineLevel="0" collapsed="false">
      <c r="A1258" s="0" t="s">
        <v>1289</v>
      </c>
      <c r="B1258" s="2" t="n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P1258" s="0" t="n">
        <v>59.5</v>
      </c>
      <c r="Q1258" s="0" t="str">
        <f aca="false">IF($C1258="Control",$P1258,"")</f>
        <v/>
      </c>
      <c r="R1258" s="3" t="n">
        <f aca="false">IF($C1258="Treatment",$P1258,"")</f>
        <v>59.5</v>
      </c>
      <c r="S1258" s="0" t="str">
        <f aca="false">IF(AND($C1258="Control",$K1258=1),$L1258,"")</f>
        <v/>
      </c>
      <c r="T1258" s="0" t="str">
        <f aca="false">IF(AND($C1258="Treatment",$K1258=1),$L1258,"")</f>
        <v/>
      </c>
    </row>
    <row r="1259" customFormat="false" ht="15" hidden="false" customHeight="false" outlineLevel="0" collapsed="false">
      <c r="A1259" s="0" t="s">
        <v>1290</v>
      </c>
      <c r="B1259" s="2" t="n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0" t="n">
        <v>1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P1259" s="0" t="n">
        <v>93.2</v>
      </c>
      <c r="Q1259" s="0" t="str">
        <f aca="false">IF($C1259="Control",$P1259,"")</f>
        <v/>
      </c>
      <c r="R1259" s="3" t="n">
        <f aca="false">IF($C1259="Treatment",$P1259,"")</f>
        <v>93.2</v>
      </c>
      <c r="S1259" s="0" t="str">
        <f aca="false">IF(AND($C1259="Control",$K1259=1),$L1259,"")</f>
        <v/>
      </c>
      <c r="T1259" s="0" t="str">
        <f aca="false">IF(AND($C1259="Treatment",$K1259=1),$L1259,"")</f>
        <v/>
      </c>
    </row>
    <row r="1260" customFormat="false" ht="15" hidden="false" customHeight="false" outlineLevel="0" collapsed="false">
      <c r="A1260" s="0" t="s">
        <v>1291</v>
      </c>
      <c r="B1260" s="2" t="n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0" t="n">
        <v>1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P1260" s="0" t="n">
        <v>59</v>
      </c>
      <c r="Q1260" s="0" t="str">
        <f aca="false">IF($C1260="Control",$P1260,"")</f>
        <v/>
      </c>
      <c r="R1260" s="3" t="n">
        <f aca="false">IF($C1260="Treatment",$P1260,"")</f>
        <v>59</v>
      </c>
      <c r="S1260" s="0" t="str">
        <f aca="false">IF(AND($C1260="Control",$K1260=1),$L1260,"")</f>
        <v/>
      </c>
      <c r="T1260" s="0" t="str">
        <f aca="false">IF(AND($C1260="Treatment",$K1260=1),$L1260,"")</f>
        <v/>
      </c>
    </row>
    <row r="1261" customFormat="false" ht="15" hidden="false" customHeight="false" outlineLevel="0" collapsed="false">
      <c r="A1261" s="0" t="s">
        <v>1292</v>
      </c>
      <c r="B1261" s="2" t="n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0" t="n">
        <v>1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P1261" s="0" t="n">
        <v>37</v>
      </c>
      <c r="Q1261" s="0" t="str">
        <f aca="false">IF($C1261="Control",$P1261,"")</f>
        <v/>
      </c>
      <c r="R1261" s="3" t="n">
        <f aca="false">IF($C1261="Treatment",$P1261,"")</f>
        <v>37</v>
      </c>
      <c r="S1261" s="0" t="str">
        <f aca="false">IF(AND($C1261="Control",$K1261=1),$L1261,"")</f>
        <v/>
      </c>
      <c r="T1261" s="0" t="str">
        <f aca="false">IF(AND($C1261="Treatment",$K1261=1),$L1261,"")</f>
        <v/>
      </c>
    </row>
    <row r="1262" customFormat="false" ht="15" hidden="false" customHeight="false" outlineLevel="0" collapsed="false">
      <c r="A1262" s="0" t="s">
        <v>1293</v>
      </c>
      <c r="B1262" s="2" t="n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0" t="n">
        <v>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P1262" s="0" t="n">
        <v>47.5</v>
      </c>
      <c r="Q1262" s="0" t="str">
        <f aca="false">IF($C1262="Control",$P1262,"")</f>
        <v/>
      </c>
      <c r="R1262" s="3" t="n">
        <f aca="false">IF($C1262="Treatment",$P1262,"")</f>
        <v>47.5</v>
      </c>
      <c r="S1262" s="0" t="str">
        <f aca="false">IF(AND($C1262="Control",$K1262=1),$L1262,"")</f>
        <v/>
      </c>
      <c r="T1262" s="0" t="str">
        <f aca="false">IF(AND($C1262="Treatment",$K1262=1),$L1262,"")</f>
        <v/>
      </c>
    </row>
    <row r="1263" customFormat="false" ht="15" hidden="false" customHeight="false" outlineLevel="0" collapsed="false">
      <c r="A1263" s="0" t="s">
        <v>1294</v>
      </c>
      <c r="B1263" s="2" t="n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0" t="n">
        <v>1</v>
      </c>
      <c r="I1263" s="0" t="n">
        <v>1</v>
      </c>
      <c r="J1263" s="0" t="n">
        <v>1</v>
      </c>
      <c r="K1263" s="0" t="n">
        <v>0</v>
      </c>
      <c r="L1263" s="0" t="n">
        <v>0</v>
      </c>
      <c r="M1263" s="0" t="n">
        <v>0</v>
      </c>
      <c r="N1263" s="0" t="n">
        <v>0</v>
      </c>
      <c r="P1263" s="0" t="n">
        <v>78.7</v>
      </c>
      <c r="Q1263" s="0" t="str">
        <f aca="false">IF($C1263="Control",$P1263,"")</f>
        <v/>
      </c>
      <c r="R1263" s="3" t="n">
        <f aca="false">IF($C1263="Treatment",$P1263,"")</f>
        <v>78.7</v>
      </c>
      <c r="S1263" s="0" t="str">
        <f aca="false">IF(AND($C1263="Control",$K1263=1),$L1263,"")</f>
        <v/>
      </c>
      <c r="T1263" s="0" t="str">
        <f aca="false">IF(AND($C1263="Treatment",$K1263=1),$L1263,"")</f>
        <v/>
      </c>
    </row>
    <row r="1264" customFormat="false" ht="15" hidden="false" customHeight="false" outlineLevel="0" collapsed="false">
      <c r="A1264" s="0" t="s">
        <v>1295</v>
      </c>
      <c r="B1264" s="2" t="n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0" t="n">
        <v>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P1264" s="0" t="n">
        <v>49.6</v>
      </c>
      <c r="Q1264" s="0" t="str">
        <f aca="false">IF($C1264="Control",$P1264,"")</f>
        <v/>
      </c>
      <c r="R1264" s="3" t="n">
        <f aca="false">IF($C1264="Treatment",$P1264,"")</f>
        <v>49.6</v>
      </c>
      <c r="S1264" s="0" t="str">
        <f aca="false">IF(AND($C1264="Control",$K1264=1),$L1264,"")</f>
        <v/>
      </c>
      <c r="T1264" s="0" t="str">
        <f aca="false">IF(AND($C1264="Treatment",$K1264=1),$L1264,"")</f>
        <v/>
      </c>
    </row>
    <row r="1265" customFormat="false" ht="15" hidden="false" customHeight="false" outlineLevel="0" collapsed="false">
      <c r="A1265" s="0" t="s">
        <v>1296</v>
      </c>
      <c r="B1265" s="2" t="n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0" t="n">
        <v>1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P1265" s="0" t="n">
        <v>58</v>
      </c>
      <c r="Q1265" s="0" t="str">
        <f aca="false">IF($C1265="Control",$P1265,"")</f>
        <v/>
      </c>
      <c r="R1265" s="3" t="n">
        <f aca="false">IF($C1265="Treatment",$P1265,"")</f>
        <v>58</v>
      </c>
      <c r="S1265" s="0" t="str">
        <f aca="false">IF(AND($C1265="Control",$K1265=1),$L1265,"")</f>
        <v/>
      </c>
      <c r="T1265" s="0" t="str">
        <f aca="false">IF(AND($C1265="Treatment",$K1265=1),$L1265,"")</f>
        <v/>
      </c>
    </row>
    <row r="1266" customFormat="false" ht="15" hidden="false" customHeight="false" outlineLevel="0" collapsed="false">
      <c r="A1266" s="0" t="s">
        <v>1297</v>
      </c>
      <c r="B1266" s="2" t="n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0" t="n">
        <v>1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0</v>
      </c>
      <c r="P1266" s="0" t="n">
        <v>54.4</v>
      </c>
      <c r="Q1266" s="0" t="str">
        <f aca="false">IF($C1266="Control",$P1266,"")</f>
        <v/>
      </c>
      <c r="R1266" s="3" t="n">
        <f aca="false">IF($C1266="Treatment",$P1266,"")</f>
        <v>54.4</v>
      </c>
      <c r="S1266" s="0" t="str">
        <f aca="false">IF(AND($C1266="Control",$K1266=1),$L1266,"")</f>
        <v/>
      </c>
      <c r="T1266" s="0" t="str">
        <f aca="false">IF(AND($C1266="Treatment",$K1266=1),$L1266,"")</f>
        <v/>
      </c>
    </row>
    <row r="1267" customFormat="false" ht="15" hidden="false" customHeight="false" outlineLevel="0" collapsed="false">
      <c r="A1267" s="0" t="s">
        <v>1298</v>
      </c>
      <c r="B1267" s="2" t="n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P1267" s="0" t="n">
        <v>33.7</v>
      </c>
      <c r="Q1267" s="0" t="str">
        <f aca="false">IF($C1267="Control",$P1267,"")</f>
        <v/>
      </c>
      <c r="R1267" s="3" t="n">
        <f aca="false">IF($C1267="Treatment",$P1267,"")</f>
        <v>33.7</v>
      </c>
      <c r="S1267" s="0" t="str">
        <f aca="false">IF(AND($C1267="Control",$K1267=1),$L1267,"")</f>
        <v/>
      </c>
      <c r="T1267" s="0" t="str">
        <f aca="false">IF(AND($C1267="Treatment",$K1267=1),$L1267,"")</f>
        <v/>
      </c>
    </row>
    <row r="1268" customFormat="false" ht="15" hidden="false" customHeight="false" outlineLevel="0" collapsed="false">
      <c r="A1268" s="0" t="s">
        <v>1299</v>
      </c>
      <c r="B1268" s="2" t="n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0" t="n">
        <v>1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P1268" s="0" t="n">
        <v>72.7</v>
      </c>
      <c r="Q1268" s="0" t="str">
        <f aca="false">IF($C1268="Control",$P1268,"")</f>
        <v/>
      </c>
      <c r="R1268" s="3" t="n">
        <f aca="false">IF($C1268="Treatment",$P1268,"")</f>
        <v>72.7</v>
      </c>
      <c r="S1268" s="0" t="str">
        <f aca="false">IF(AND($C1268="Control",$K1268=1),$L1268,"")</f>
        <v/>
      </c>
      <c r="T1268" s="0" t="str">
        <f aca="false">IF(AND($C1268="Treatment",$K1268=1),$L1268,"")</f>
        <v/>
      </c>
    </row>
    <row r="1269" customFormat="false" ht="15" hidden="false" customHeight="false" outlineLevel="0" collapsed="false">
      <c r="A1269" s="0" t="s">
        <v>1300</v>
      </c>
      <c r="B1269" s="2" t="n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P1269" s="0" t="n">
        <v>64.7</v>
      </c>
      <c r="Q1269" s="0" t="str">
        <f aca="false">IF($C1269="Control",$P1269,"")</f>
        <v/>
      </c>
      <c r="R1269" s="3" t="n">
        <f aca="false">IF($C1269="Treatment",$P1269,"")</f>
        <v>64.7</v>
      </c>
      <c r="S1269" s="0" t="str">
        <f aca="false">IF(AND($C1269="Control",$K1269=1),$L1269,"")</f>
        <v/>
      </c>
      <c r="T1269" s="0" t="str">
        <f aca="false">IF(AND($C1269="Treatment",$K1269=1),$L1269,"")</f>
        <v/>
      </c>
    </row>
    <row r="1270" customFormat="false" ht="15" hidden="false" customHeight="false" outlineLevel="0" collapsed="false">
      <c r="A1270" s="0" t="s">
        <v>1301</v>
      </c>
      <c r="B1270" s="2" t="n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0</v>
      </c>
      <c r="P1270" s="0" t="n">
        <v>48.6</v>
      </c>
      <c r="Q1270" s="0" t="str">
        <f aca="false">IF($C1270="Control",$P1270,"")</f>
        <v/>
      </c>
      <c r="R1270" s="3" t="n">
        <f aca="false">IF($C1270="Treatment",$P1270,"")</f>
        <v>48.6</v>
      </c>
      <c r="S1270" s="0" t="str">
        <f aca="false">IF(AND($C1270="Control",$K1270=1),$L1270,"")</f>
        <v/>
      </c>
      <c r="T1270" s="0" t="str">
        <f aca="false">IF(AND($C1270="Treatment",$K1270=1),$L1270,"")</f>
        <v/>
      </c>
    </row>
    <row r="1271" customFormat="false" ht="15" hidden="false" customHeight="false" outlineLevel="0" collapsed="false">
      <c r="A1271" s="0" t="s">
        <v>1302</v>
      </c>
      <c r="B1271" s="2" t="n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0" t="n">
        <v>1</v>
      </c>
      <c r="I1271" s="0" t="n">
        <v>1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P1271" s="0" t="n">
        <v>66.2</v>
      </c>
      <c r="Q1271" s="0" t="str">
        <f aca="false">IF($C1271="Control",$P1271,"")</f>
        <v/>
      </c>
      <c r="R1271" s="3" t="n">
        <f aca="false">IF($C1271="Treatment",$P1271,"")</f>
        <v>66.2</v>
      </c>
      <c r="S1271" s="0" t="str">
        <f aca="false">IF(AND($C1271="Control",$K1271=1),$L1271,"")</f>
        <v/>
      </c>
      <c r="T1271" s="0" t="str">
        <f aca="false">IF(AND($C1271="Treatment",$K1271=1),$L1271,"")</f>
        <v/>
      </c>
    </row>
    <row r="1272" customFormat="false" ht="15" hidden="false" customHeight="false" outlineLevel="0" collapsed="false">
      <c r="A1272" s="0" t="s">
        <v>1303</v>
      </c>
      <c r="B1272" s="2" t="n">
        <v>45691</v>
      </c>
      <c r="C1272" s="3" t="s">
        <v>723</v>
      </c>
      <c r="D1272" s="3" t="s">
        <v>23</v>
      </c>
      <c r="E1272" s="3" t="s">
        <v>1470</v>
      </c>
      <c r="F1272" s="3" t="s">
        <v>39</v>
      </c>
      <c r="G1272" s="3" t="s">
        <v>21</v>
      </c>
      <c r="H1272" s="0" t="n">
        <v>1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0</v>
      </c>
      <c r="P1272" s="0" t="n">
        <v>60.7</v>
      </c>
      <c r="Q1272" s="0" t="str">
        <f aca="false">IF($C1272="Control",$P1272,"")</f>
        <v/>
      </c>
      <c r="R1272" s="3" t="n">
        <f aca="false">IF($C1272="Treatment",$P1272,"")</f>
        <v>60.7</v>
      </c>
      <c r="S1272" s="0" t="str">
        <f aca="false">IF(AND($C1272="Control",$K1272=1),$L1272,"")</f>
        <v/>
      </c>
      <c r="T1272" s="0" t="str">
        <f aca="false">IF(AND($C1272="Treatment",$K1272=1),$L1272,"")</f>
        <v/>
      </c>
    </row>
    <row r="1273" customFormat="false" ht="15" hidden="false" customHeight="false" outlineLevel="0" collapsed="false">
      <c r="A1273" s="0" t="s">
        <v>1304</v>
      </c>
      <c r="B1273" s="2" t="n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0" t="n">
        <v>1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P1273" s="0" t="n">
        <v>36.5</v>
      </c>
      <c r="Q1273" s="0" t="str">
        <f aca="false">IF($C1273="Control",$P1273,"")</f>
        <v/>
      </c>
      <c r="R1273" s="3" t="n">
        <f aca="false">IF($C1273="Treatment",$P1273,"")</f>
        <v>36.5</v>
      </c>
      <c r="S1273" s="0" t="str">
        <f aca="false">IF(AND($C1273="Control",$K1273=1),$L1273,"")</f>
        <v/>
      </c>
      <c r="T1273" s="0" t="str">
        <f aca="false">IF(AND($C1273="Treatment",$K1273=1),$L1273,"")</f>
        <v/>
      </c>
    </row>
    <row r="1274" customFormat="false" ht="15" hidden="false" customHeight="false" outlineLevel="0" collapsed="false">
      <c r="A1274" s="0" t="s">
        <v>1305</v>
      </c>
      <c r="B1274" s="2" t="n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0" t="n">
        <v>1</v>
      </c>
      <c r="I1274" s="0" t="n">
        <v>1</v>
      </c>
      <c r="J1274" s="0" t="n">
        <v>1</v>
      </c>
      <c r="K1274" s="0" t="n">
        <v>0</v>
      </c>
      <c r="L1274" s="0" t="n">
        <v>0</v>
      </c>
      <c r="M1274" s="0" t="n">
        <v>3</v>
      </c>
      <c r="N1274" s="0" t="n">
        <v>0</v>
      </c>
      <c r="P1274" s="0" t="n">
        <v>69.7</v>
      </c>
      <c r="Q1274" s="0" t="str">
        <f aca="false">IF($C1274="Control",$P1274,"")</f>
        <v/>
      </c>
      <c r="R1274" s="3" t="n">
        <f aca="false">IF($C1274="Treatment",$P1274,"")</f>
        <v>69.7</v>
      </c>
      <c r="S1274" s="0" t="str">
        <f aca="false">IF(AND($C1274="Control",$K1274=1),$L1274,"")</f>
        <v/>
      </c>
      <c r="T1274" s="0" t="str">
        <f aca="false">IF(AND($C1274="Treatment",$K1274=1),$L1274,"")</f>
        <v/>
      </c>
    </row>
    <row r="1275" customFormat="false" ht="15" hidden="false" customHeight="false" outlineLevel="0" collapsed="false">
      <c r="A1275" s="0" t="s">
        <v>1306</v>
      </c>
      <c r="B1275" s="2" t="n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0" t="n">
        <v>1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P1275" s="0" t="n">
        <v>81.8</v>
      </c>
      <c r="Q1275" s="0" t="str">
        <f aca="false">IF($C1275="Control",$P1275,"")</f>
        <v/>
      </c>
      <c r="R1275" s="3" t="n">
        <f aca="false">IF($C1275="Treatment",$P1275,"")</f>
        <v>81.8</v>
      </c>
      <c r="S1275" s="0" t="str">
        <f aca="false">IF(AND($C1275="Control",$K1275=1),$L1275,"")</f>
        <v/>
      </c>
      <c r="T1275" s="0" t="str">
        <f aca="false">IF(AND($C1275="Treatment",$K1275=1),$L1275,"")</f>
        <v/>
      </c>
    </row>
    <row r="1276" customFormat="false" ht="15" hidden="false" customHeight="false" outlineLevel="0" collapsed="false">
      <c r="A1276" s="0" t="s">
        <v>1307</v>
      </c>
      <c r="B1276" s="2" t="n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0" t="n">
        <v>1</v>
      </c>
      <c r="I1276" s="0" t="n">
        <v>1</v>
      </c>
      <c r="J1276" s="0" t="n">
        <v>1</v>
      </c>
      <c r="K1276" s="0" t="n">
        <v>0</v>
      </c>
      <c r="L1276" s="0" t="n">
        <v>0</v>
      </c>
      <c r="M1276" s="0" t="n">
        <v>1</v>
      </c>
      <c r="N1276" s="0" t="n">
        <v>0</v>
      </c>
      <c r="P1276" s="0" t="n">
        <v>78.3</v>
      </c>
      <c r="Q1276" s="0" t="str">
        <f aca="false">IF($C1276="Control",$P1276,"")</f>
        <v/>
      </c>
      <c r="R1276" s="3" t="n">
        <f aca="false">IF($C1276="Treatment",$P1276,"")</f>
        <v>78.3</v>
      </c>
      <c r="S1276" s="0" t="str">
        <f aca="false">IF(AND($C1276="Control",$K1276=1),$L1276,"")</f>
        <v/>
      </c>
      <c r="T1276" s="0" t="str">
        <f aca="false">IF(AND($C1276="Treatment",$K1276=1),$L1276,"")</f>
        <v/>
      </c>
    </row>
    <row r="1277" customFormat="false" ht="15" hidden="false" customHeight="false" outlineLevel="0" collapsed="false">
      <c r="A1277" s="0" t="s">
        <v>1308</v>
      </c>
      <c r="B1277" s="2" t="n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0" t="n">
        <v>1</v>
      </c>
      <c r="I1277" s="0" t="n">
        <v>1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P1277" s="0" t="n">
        <v>79.4</v>
      </c>
      <c r="Q1277" s="0" t="str">
        <f aca="false">IF($C1277="Control",$P1277,"")</f>
        <v/>
      </c>
      <c r="R1277" s="3" t="n">
        <f aca="false">IF($C1277="Treatment",$P1277,"")</f>
        <v>79.4</v>
      </c>
      <c r="S1277" s="0" t="str">
        <f aca="false">IF(AND($C1277="Control",$K1277=1),$L1277,"")</f>
        <v/>
      </c>
      <c r="T1277" s="0" t="str">
        <f aca="false">IF(AND($C1277="Treatment",$K1277=1),$L1277,"")</f>
        <v/>
      </c>
    </row>
    <row r="1278" customFormat="false" ht="15" hidden="false" customHeight="false" outlineLevel="0" collapsed="false">
      <c r="A1278" s="0" t="s">
        <v>1309</v>
      </c>
      <c r="B1278" s="2" t="n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0" t="n">
        <v>1</v>
      </c>
      <c r="I1278" s="0" t="n">
        <v>1</v>
      </c>
      <c r="J1278" s="0" t="n">
        <v>1</v>
      </c>
      <c r="K1278" s="0" t="n">
        <v>0</v>
      </c>
      <c r="L1278" s="0" t="n">
        <v>0</v>
      </c>
      <c r="M1278" s="0" t="n">
        <v>0</v>
      </c>
      <c r="N1278" s="0" t="n">
        <v>0</v>
      </c>
      <c r="P1278" s="0" t="n">
        <v>54.9</v>
      </c>
      <c r="Q1278" s="0" t="str">
        <f aca="false">IF($C1278="Control",$P1278,"")</f>
        <v/>
      </c>
      <c r="R1278" s="3" t="n">
        <f aca="false">IF($C1278="Treatment",$P1278,"")</f>
        <v>54.9</v>
      </c>
      <c r="S1278" s="0" t="str">
        <f aca="false">IF(AND($C1278="Control",$K1278=1),$L1278,"")</f>
        <v/>
      </c>
      <c r="T1278" s="0" t="str">
        <f aca="false">IF(AND($C1278="Treatment",$K1278=1),$L1278,"")</f>
        <v/>
      </c>
    </row>
    <row r="1279" customFormat="false" ht="15" hidden="false" customHeight="false" outlineLevel="0" collapsed="false">
      <c r="A1279" s="0" t="s">
        <v>1310</v>
      </c>
      <c r="B1279" s="2" t="n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0" t="n">
        <v>1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P1279" s="0" t="n">
        <v>54.9</v>
      </c>
      <c r="Q1279" s="0" t="str">
        <f aca="false">IF($C1279="Control",$P1279,"")</f>
        <v/>
      </c>
      <c r="R1279" s="3" t="n">
        <f aca="false">IF($C1279="Treatment",$P1279,"")</f>
        <v>54.9</v>
      </c>
      <c r="S1279" s="0" t="str">
        <f aca="false">IF(AND($C1279="Control",$K1279=1),$L1279,"")</f>
        <v/>
      </c>
      <c r="T1279" s="0" t="str">
        <f aca="false">IF(AND($C1279="Treatment",$K1279=1),$L1279,"")</f>
        <v/>
      </c>
    </row>
    <row r="1280" customFormat="false" ht="15" hidden="false" customHeight="false" outlineLevel="0" collapsed="false">
      <c r="A1280" s="0" t="s">
        <v>1311</v>
      </c>
      <c r="B1280" s="2" t="n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P1280" s="0" t="n">
        <v>28.7</v>
      </c>
      <c r="Q1280" s="0" t="str">
        <f aca="false">IF($C1280="Control",$P1280,"")</f>
        <v/>
      </c>
      <c r="R1280" s="3" t="n">
        <f aca="false">IF($C1280="Treatment",$P1280,"")</f>
        <v>28.7</v>
      </c>
      <c r="S1280" s="0" t="str">
        <f aca="false">IF(AND($C1280="Control",$K1280=1),$L1280,"")</f>
        <v/>
      </c>
      <c r="T1280" s="0" t="str">
        <f aca="false">IF(AND($C1280="Treatment",$K1280=1),$L1280,"")</f>
        <v/>
      </c>
    </row>
    <row r="1281" customFormat="false" ht="15" hidden="false" customHeight="false" outlineLevel="0" collapsed="false">
      <c r="A1281" s="0" t="s">
        <v>1312</v>
      </c>
      <c r="B1281" s="2" t="n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P1281" s="0" t="n">
        <v>68.8</v>
      </c>
      <c r="Q1281" s="0" t="str">
        <f aca="false">IF($C1281="Control",$P1281,"")</f>
        <v/>
      </c>
      <c r="R1281" s="3" t="n">
        <f aca="false">IF($C1281="Treatment",$P1281,"")</f>
        <v>68.8</v>
      </c>
      <c r="S1281" s="0" t="str">
        <f aca="false">IF(AND($C1281="Control",$K1281=1),$L1281,"")</f>
        <v/>
      </c>
      <c r="T1281" s="0" t="str">
        <f aca="false">IF(AND($C1281="Treatment",$K1281=1),$L1281,"")</f>
        <v/>
      </c>
    </row>
    <row r="1282" customFormat="false" ht="15" hidden="false" customHeight="false" outlineLevel="0" collapsed="false">
      <c r="A1282" s="0" t="s">
        <v>1313</v>
      </c>
      <c r="B1282" s="2" t="n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0" t="n">
        <v>1</v>
      </c>
      <c r="I1282" s="0" t="n">
        <v>1</v>
      </c>
      <c r="J1282" s="0" t="n">
        <v>1</v>
      </c>
      <c r="K1282" s="0" t="n">
        <v>0</v>
      </c>
      <c r="L1282" s="0" t="n">
        <v>0</v>
      </c>
      <c r="M1282" s="0" t="n">
        <v>0</v>
      </c>
      <c r="N1282" s="0" t="n">
        <v>0</v>
      </c>
      <c r="P1282" s="0" t="n">
        <v>43.5</v>
      </c>
      <c r="Q1282" s="0" t="str">
        <f aca="false">IF($C1282="Control",$P1282,"")</f>
        <v/>
      </c>
      <c r="R1282" s="3" t="n">
        <f aca="false">IF($C1282="Treatment",$P1282,"")</f>
        <v>43.5</v>
      </c>
      <c r="S1282" s="0" t="str">
        <f aca="false">IF(AND($C1282="Control",$K1282=1),$L1282,"")</f>
        <v/>
      </c>
      <c r="T1282" s="0" t="str">
        <f aca="false">IF(AND($C1282="Treatment",$K1282=1),$L1282,"")</f>
        <v/>
      </c>
    </row>
    <row r="1283" customFormat="false" ht="15" hidden="false" customHeight="false" outlineLevel="0" collapsed="false">
      <c r="A1283" s="0" t="s">
        <v>1314</v>
      </c>
      <c r="B1283" s="2" t="n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0" t="n">
        <v>1</v>
      </c>
      <c r="I1283" s="0" t="n">
        <v>1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P1283" s="0" t="n">
        <v>62.6</v>
      </c>
      <c r="Q1283" s="0" t="str">
        <f aca="false">IF($C1283="Control",$P1283,"")</f>
        <v/>
      </c>
      <c r="R1283" s="3" t="n">
        <f aca="false">IF($C1283="Treatment",$P1283,"")</f>
        <v>62.6</v>
      </c>
      <c r="S1283" s="0" t="str">
        <f aca="false">IF(AND($C1283="Control",$K1283=1),$L1283,"")</f>
        <v/>
      </c>
      <c r="T1283" s="0" t="str">
        <f aca="false">IF(AND($C1283="Treatment",$K1283=1),$L1283,"")</f>
        <v/>
      </c>
    </row>
    <row r="1284" customFormat="false" ht="15" hidden="false" customHeight="false" outlineLevel="0" collapsed="false">
      <c r="A1284" s="0" t="s">
        <v>1315</v>
      </c>
      <c r="B1284" s="2" t="n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0</v>
      </c>
      <c r="P1284" s="0" t="n">
        <v>54.1</v>
      </c>
      <c r="Q1284" s="0" t="str">
        <f aca="false">IF($C1284="Control",$P1284,"")</f>
        <v/>
      </c>
      <c r="R1284" s="3" t="n">
        <f aca="false">IF($C1284="Treatment",$P1284,"")</f>
        <v>54.1</v>
      </c>
      <c r="S1284" s="0" t="str">
        <f aca="false">IF(AND($C1284="Control",$K1284=1),$L1284,"")</f>
        <v/>
      </c>
      <c r="T1284" s="0" t="str">
        <f aca="false">IF(AND($C1284="Treatment",$K1284=1),$L1284,"")</f>
        <v/>
      </c>
    </row>
    <row r="1285" customFormat="false" ht="15" hidden="false" customHeight="false" outlineLevel="0" collapsed="false">
      <c r="A1285" s="0" t="s">
        <v>1316</v>
      </c>
      <c r="B1285" s="2" t="n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0" t="n">
        <v>1</v>
      </c>
      <c r="I1285" s="0" t="n">
        <v>1</v>
      </c>
      <c r="J1285" s="0" t="n">
        <v>1</v>
      </c>
      <c r="K1285" s="0" t="n">
        <v>0</v>
      </c>
      <c r="L1285" s="0" t="n">
        <v>0</v>
      </c>
      <c r="M1285" s="0" t="n">
        <v>0</v>
      </c>
      <c r="N1285" s="0" t="n">
        <v>0</v>
      </c>
      <c r="P1285" s="0" t="n">
        <v>80.1</v>
      </c>
      <c r="Q1285" s="0" t="str">
        <f aca="false">IF($C1285="Control",$P1285,"")</f>
        <v/>
      </c>
      <c r="R1285" s="3" t="n">
        <f aca="false">IF($C1285="Treatment",$P1285,"")</f>
        <v>80.1</v>
      </c>
      <c r="S1285" s="0" t="str">
        <f aca="false">IF(AND($C1285="Control",$K1285=1),$L1285,"")</f>
        <v/>
      </c>
      <c r="T1285" s="0" t="str">
        <f aca="false">IF(AND($C1285="Treatment",$K1285=1),$L1285,"")</f>
        <v/>
      </c>
    </row>
    <row r="1286" customFormat="false" ht="15" hidden="false" customHeight="false" outlineLevel="0" collapsed="false">
      <c r="A1286" s="0" t="s">
        <v>1317</v>
      </c>
      <c r="B1286" s="2" t="n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0" t="n">
        <v>1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P1286" s="0" t="n">
        <v>69.5</v>
      </c>
      <c r="Q1286" s="0" t="str">
        <f aca="false">IF($C1286="Control",$P1286,"")</f>
        <v/>
      </c>
      <c r="R1286" s="3" t="n">
        <f aca="false">IF($C1286="Treatment",$P1286,"")</f>
        <v>69.5</v>
      </c>
      <c r="S1286" s="0" t="str">
        <f aca="false">IF(AND($C1286="Control",$K1286=1),$L1286,"")</f>
        <v/>
      </c>
      <c r="T1286" s="0" t="str">
        <f aca="false">IF(AND($C1286="Treatment",$K1286=1),$L1286,"")</f>
        <v/>
      </c>
    </row>
    <row r="1287" customFormat="false" ht="15" hidden="false" customHeight="false" outlineLevel="0" collapsed="false">
      <c r="A1287" s="0" t="s">
        <v>1318</v>
      </c>
      <c r="B1287" s="2" t="n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2</v>
      </c>
      <c r="N1287" s="0" t="n">
        <v>0</v>
      </c>
      <c r="P1287" s="0" t="n">
        <v>46.6</v>
      </c>
      <c r="Q1287" s="0" t="str">
        <f aca="false">IF($C1287="Control",$P1287,"")</f>
        <v/>
      </c>
      <c r="R1287" s="3" t="n">
        <f aca="false">IF($C1287="Treatment",$P1287,"")</f>
        <v>46.6</v>
      </c>
      <c r="S1287" s="0" t="str">
        <f aca="false">IF(AND($C1287="Control",$K1287=1),$L1287,"")</f>
        <v/>
      </c>
      <c r="T1287" s="0" t="str">
        <f aca="false">IF(AND($C1287="Treatment",$K1287=1),$L1287,"")</f>
        <v/>
      </c>
    </row>
    <row r="1288" customFormat="false" ht="15" hidden="false" customHeight="false" outlineLevel="0" collapsed="false">
      <c r="A1288" s="0" t="s">
        <v>1319</v>
      </c>
      <c r="B1288" s="2" t="n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0" t="n">
        <v>1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0</v>
      </c>
      <c r="P1288" s="0" t="n">
        <v>54.9</v>
      </c>
      <c r="Q1288" s="0" t="str">
        <f aca="false">IF($C1288="Control",$P1288,"")</f>
        <v/>
      </c>
      <c r="R1288" s="3" t="n">
        <f aca="false">IF($C1288="Treatment",$P1288,"")</f>
        <v>54.9</v>
      </c>
      <c r="S1288" s="0" t="str">
        <f aca="false">IF(AND($C1288="Control",$K1288=1),$L1288,"")</f>
        <v/>
      </c>
      <c r="T1288" s="0" t="str">
        <f aca="false">IF(AND($C1288="Treatment",$K1288=1),$L1288,"")</f>
        <v/>
      </c>
    </row>
    <row r="1289" customFormat="false" ht="15" hidden="false" customHeight="false" outlineLevel="0" collapsed="false">
      <c r="A1289" s="0" t="s">
        <v>1320</v>
      </c>
      <c r="B1289" s="2" t="n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P1289" s="0" t="n">
        <v>100</v>
      </c>
      <c r="Q1289" s="0" t="str">
        <f aca="false">IF($C1289="Control",$P1289,"")</f>
        <v/>
      </c>
      <c r="R1289" s="3" t="n">
        <f aca="false">IF($C1289="Treatment",$P1289,"")</f>
        <v>100</v>
      </c>
      <c r="S1289" s="0" t="str">
        <f aca="false">IF(AND($C1289="Control",$K1289=1),$L1289,"")</f>
        <v/>
      </c>
      <c r="T1289" s="0" t="str">
        <f aca="false">IF(AND($C1289="Treatment",$K1289=1),$L1289,"")</f>
        <v/>
      </c>
    </row>
    <row r="1290" customFormat="false" ht="15" hidden="false" customHeight="false" outlineLevel="0" collapsed="false">
      <c r="A1290" s="0" t="s">
        <v>1321</v>
      </c>
      <c r="B1290" s="2" t="n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0" t="n">
        <v>1</v>
      </c>
      <c r="I1290" s="0" t="n">
        <v>1</v>
      </c>
      <c r="J1290" s="0" t="n">
        <v>1</v>
      </c>
      <c r="K1290" s="0" t="n">
        <v>0</v>
      </c>
      <c r="L1290" s="0" t="n">
        <v>0</v>
      </c>
      <c r="M1290" s="0" t="n">
        <v>1</v>
      </c>
      <c r="N1290" s="0" t="n">
        <v>0</v>
      </c>
      <c r="P1290" s="0" t="n">
        <v>80.5</v>
      </c>
      <c r="Q1290" s="0" t="str">
        <f aca="false">IF($C1290="Control",$P1290,"")</f>
        <v/>
      </c>
      <c r="R1290" s="3" t="n">
        <f aca="false">IF($C1290="Treatment",$P1290,"")</f>
        <v>80.5</v>
      </c>
      <c r="S1290" s="0" t="str">
        <f aca="false">IF(AND($C1290="Control",$K1290=1),$L1290,"")</f>
        <v/>
      </c>
      <c r="T1290" s="0" t="str">
        <f aca="false">IF(AND($C1290="Treatment",$K1290=1),$L1290,"")</f>
        <v/>
      </c>
    </row>
    <row r="1291" customFormat="false" ht="15" hidden="false" customHeight="false" outlineLevel="0" collapsed="false">
      <c r="A1291" s="0" t="s">
        <v>1322</v>
      </c>
      <c r="B1291" s="2" t="n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0" t="n">
        <v>1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P1291" s="0" t="n">
        <v>51.2</v>
      </c>
      <c r="Q1291" s="0" t="str">
        <f aca="false">IF($C1291="Control",$P1291,"")</f>
        <v/>
      </c>
      <c r="R1291" s="3" t="n">
        <f aca="false">IF($C1291="Treatment",$P1291,"")</f>
        <v>51.2</v>
      </c>
      <c r="S1291" s="0" t="str">
        <f aca="false">IF(AND($C1291="Control",$K1291=1),$L1291,"")</f>
        <v/>
      </c>
      <c r="T1291" s="0" t="str">
        <f aca="false">IF(AND($C1291="Treatment",$K1291=1),$L1291,"")</f>
        <v/>
      </c>
    </row>
    <row r="1292" customFormat="false" ht="15" hidden="false" customHeight="false" outlineLevel="0" collapsed="false">
      <c r="A1292" s="0" t="s">
        <v>1323</v>
      </c>
      <c r="B1292" s="2" t="n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0" t="n">
        <v>1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P1292" s="0" t="n">
        <v>42.5</v>
      </c>
      <c r="Q1292" s="0" t="str">
        <f aca="false">IF($C1292="Control",$P1292,"")</f>
        <v/>
      </c>
      <c r="R1292" s="3" t="n">
        <f aca="false">IF($C1292="Treatment",$P1292,"")</f>
        <v>42.5</v>
      </c>
      <c r="S1292" s="0" t="str">
        <f aca="false">IF(AND($C1292="Control",$K1292=1),$L1292,"")</f>
        <v/>
      </c>
      <c r="T1292" s="0" t="str">
        <f aca="false">IF(AND($C1292="Treatment",$K1292=1),$L1292,"")</f>
        <v/>
      </c>
    </row>
    <row r="1293" customFormat="false" ht="15" hidden="false" customHeight="false" outlineLevel="0" collapsed="false">
      <c r="A1293" s="0" t="s">
        <v>1324</v>
      </c>
      <c r="B1293" s="2" t="n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P1293" s="0" t="n">
        <v>72.5</v>
      </c>
      <c r="Q1293" s="0" t="str">
        <f aca="false">IF($C1293="Control",$P1293,"")</f>
        <v/>
      </c>
      <c r="R1293" s="3" t="n">
        <f aca="false">IF($C1293="Treatment",$P1293,"")</f>
        <v>72.5</v>
      </c>
      <c r="S1293" s="0" t="str">
        <f aca="false">IF(AND($C1293="Control",$K1293=1),$L1293,"")</f>
        <v/>
      </c>
      <c r="T1293" s="0" t="str">
        <f aca="false">IF(AND($C1293="Treatment",$K1293=1),$L1293,"")</f>
        <v/>
      </c>
    </row>
    <row r="1294" customFormat="false" ht="15" hidden="false" customHeight="false" outlineLevel="0" collapsed="false">
      <c r="A1294" s="0" t="s">
        <v>1325</v>
      </c>
      <c r="B1294" s="2" t="n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P1294" s="0" t="n">
        <v>74.4</v>
      </c>
      <c r="Q1294" s="0" t="str">
        <f aca="false">IF($C1294="Control",$P1294,"")</f>
        <v/>
      </c>
      <c r="R1294" s="3" t="n">
        <f aca="false">IF($C1294="Treatment",$P1294,"")</f>
        <v>74.4</v>
      </c>
      <c r="S1294" s="0" t="str">
        <f aca="false">IF(AND($C1294="Control",$K1294=1),$L1294,"")</f>
        <v/>
      </c>
      <c r="T1294" s="0" t="str">
        <f aca="false">IF(AND($C1294="Treatment",$K1294=1),$L1294,"")</f>
        <v/>
      </c>
    </row>
    <row r="1295" customFormat="false" ht="15" hidden="false" customHeight="false" outlineLevel="0" collapsed="false">
      <c r="A1295" s="0" t="s">
        <v>1326</v>
      </c>
      <c r="B1295" s="2" t="n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P1295" s="0" t="n">
        <v>78.4</v>
      </c>
      <c r="Q1295" s="0" t="str">
        <f aca="false">IF($C1295="Control",$P1295,"")</f>
        <v/>
      </c>
      <c r="R1295" s="3" t="n">
        <f aca="false">IF($C1295="Treatment",$P1295,"")</f>
        <v>78.4</v>
      </c>
      <c r="S1295" s="0" t="str">
        <f aca="false">IF(AND($C1295="Control",$K1295=1),$L1295,"")</f>
        <v/>
      </c>
      <c r="T1295" s="0" t="str">
        <f aca="false">IF(AND($C1295="Treatment",$K1295=1),$L1295,"")</f>
        <v/>
      </c>
    </row>
    <row r="1296" customFormat="false" ht="15" hidden="false" customHeight="false" outlineLevel="0" collapsed="false">
      <c r="A1296" s="0" t="s">
        <v>1327</v>
      </c>
      <c r="B1296" s="2" t="n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0" t="n">
        <v>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P1296" s="0" t="n">
        <v>71.5</v>
      </c>
      <c r="Q1296" s="0" t="str">
        <f aca="false">IF($C1296="Control",$P1296,"")</f>
        <v/>
      </c>
      <c r="R1296" s="3" t="n">
        <f aca="false">IF($C1296="Treatment",$P1296,"")</f>
        <v>71.5</v>
      </c>
      <c r="S1296" s="0" t="str">
        <f aca="false">IF(AND($C1296="Control",$K1296=1),$L1296,"")</f>
        <v/>
      </c>
      <c r="T1296" s="0" t="str">
        <f aca="false">IF(AND($C1296="Treatment",$K1296=1),$L1296,"")</f>
        <v/>
      </c>
    </row>
    <row r="1297" customFormat="false" ht="15" hidden="false" customHeight="false" outlineLevel="0" collapsed="false">
      <c r="A1297" s="0" t="s">
        <v>1328</v>
      </c>
      <c r="B1297" s="2" t="n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0" t="n">
        <v>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P1297" s="0" t="n">
        <v>66.7</v>
      </c>
      <c r="Q1297" s="0" t="str">
        <f aca="false">IF($C1297="Control",$P1297,"")</f>
        <v/>
      </c>
      <c r="R1297" s="3" t="n">
        <f aca="false">IF($C1297="Treatment",$P1297,"")</f>
        <v>66.7</v>
      </c>
      <c r="S1297" s="0" t="str">
        <f aca="false">IF(AND($C1297="Control",$K1297=1),$L1297,"")</f>
        <v/>
      </c>
      <c r="T1297" s="0" t="str">
        <f aca="false">IF(AND($C1297="Treatment",$K1297=1),$L1297,"")</f>
        <v/>
      </c>
    </row>
    <row r="1298" customFormat="false" ht="15" hidden="false" customHeight="false" outlineLevel="0" collapsed="false">
      <c r="A1298" s="0" t="s">
        <v>1329</v>
      </c>
      <c r="B1298" s="2" t="n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0" t="n">
        <v>1</v>
      </c>
      <c r="I1298" s="0" t="n">
        <v>1</v>
      </c>
      <c r="J1298" s="0" t="n">
        <v>1</v>
      </c>
      <c r="K1298" s="0" t="n">
        <v>1</v>
      </c>
      <c r="L1298" s="0" t="n">
        <v>1496.09</v>
      </c>
      <c r="M1298" s="0" t="n">
        <v>0</v>
      </c>
      <c r="N1298" s="0" t="n">
        <v>0</v>
      </c>
      <c r="O1298" s="0" t="n">
        <v>7</v>
      </c>
      <c r="P1298" s="0" t="n">
        <v>60.4</v>
      </c>
      <c r="Q1298" s="0" t="str">
        <f aca="false">IF($C1298="Control",$P1298,"")</f>
        <v/>
      </c>
      <c r="R1298" s="3" t="n">
        <f aca="false">IF($C1298="Treatment",$P1298,"")</f>
        <v>60.4</v>
      </c>
      <c r="S1298" s="0" t="str">
        <f aca="false">IF(AND($C1298="Control",$K1298=1),$L1298,"")</f>
        <v/>
      </c>
      <c r="T1298" s="3" t="n">
        <f aca="false">IF(AND($C1298="Treatment",$K1298=1),$L1298,"")</f>
        <v>1496.09</v>
      </c>
    </row>
    <row r="1299" customFormat="false" ht="15" hidden="false" customHeight="false" outlineLevel="0" collapsed="false">
      <c r="A1299" s="0" t="s">
        <v>1330</v>
      </c>
      <c r="B1299" s="2" t="n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0</v>
      </c>
      <c r="P1299" s="0" t="n">
        <v>72.9</v>
      </c>
      <c r="Q1299" s="0" t="str">
        <f aca="false">IF($C1299="Control",$P1299,"")</f>
        <v/>
      </c>
      <c r="R1299" s="3" t="n">
        <f aca="false">IF($C1299="Treatment",$P1299,"")</f>
        <v>72.9</v>
      </c>
      <c r="S1299" s="0" t="str">
        <f aca="false">IF(AND($C1299="Control",$K1299=1),$L1299,"")</f>
        <v/>
      </c>
      <c r="T1299" s="0" t="str">
        <f aca="false">IF(AND($C1299="Treatment",$K1299=1),$L1299,"")</f>
        <v/>
      </c>
    </row>
    <row r="1300" customFormat="false" ht="15" hidden="false" customHeight="false" outlineLevel="0" collapsed="false">
      <c r="A1300" s="0" t="s">
        <v>1331</v>
      </c>
      <c r="B1300" s="2" t="n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3</v>
      </c>
      <c r="N1300" s="0" t="n">
        <v>0</v>
      </c>
      <c r="Q1300" s="0" t="str">
        <f aca="false">IF($C1300="Control",$P1300,"")</f>
        <v/>
      </c>
      <c r="R1300" s="3" t="n">
        <f aca="false">IF($C1300="Treatment",$P1300,"")</f>
        <v>0</v>
      </c>
      <c r="S1300" s="0" t="str">
        <f aca="false">IF(AND($C1300="Control",$K1300=1),$L1300,"")</f>
        <v/>
      </c>
      <c r="T1300" s="0" t="str">
        <f aca="false">IF(AND($C1300="Treatment",$K1300=1),$L1300,"")</f>
        <v/>
      </c>
    </row>
    <row r="1301" customFormat="false" ht="15" hidden="false" customHeight="false" outlineLevel="0" collapsed="false">
      <c r="A1301" s="0" t="s">
        <v>1332</v>
      </c>
      <c r="B1301" s="2" t="n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0" t="n">
        <v>1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P1301" s="0" t="n">
        <v>55.2</v>
      </c>
      <c r="Q1301" s="0" t="str">
        <f aca="false">IF($C1301="Control",$P1301,"")</f>
        <v/>
      </c>
      <c r="R1301" s="3" t="n">
        <f aca="false">IF($C1301="Treatment",$P1301,"")</f>
        <v>55.2</v>
      </c>
      <c r="S1301" s="0" t="str">
        <f aca="false">IF(AND($C1301="Control",$K1301=1),$L1301,"")</f>
        <v/>
      </c>
      <c r="T1301" s="0" t="str">
        <f aca="false">IF(AND($C1301="Treatment",$K1301=1),$L1301,"")</f>
        <v/>
      </c>
    </row>
    <row r="1302" customFormat="false" ht="15" hidden="false" customHeight="false" outlineLevel="0" collapsed="false">
      <c r="A1302" s="0" t="s">
        <v>1333</v>
      </c>
      <c r="B1302" s="2" t="n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0" t="n">
        <v>1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P1302" s="0" t="n">
        <v>67.8</v>
      </c>
      <c r="Q1302" s="0" t="str">
        <f aca="false">IF($C1302="Control",$P1302,"")</f>
        <v/>
      </c>
      <c r="R1302" s="3" t="n">
        <f aca="false">IF($C1302="Treatment",$P1302,"")</f>
        <v>67.8</v>
      </c>
      <c r="S1302" s="0" t="str">
        <f aca="false">IF(AND($C1302="Control",$K1302=1),$L1302,"")</f>
        <v/>
      </c>
      <c r="T1302" s="0" t="str">
        <f aca="false">IF(AND($C1302="Treatment",$K1302=1),$L1302,"")</f>
        <v/>
      </c>
    </row>
    <row r="1303" customFormat="false" ht="15" hidden="false" customHeight="false" outlineLevel="0" collapsed="false">
      <c r="A1303" s="0" t="s">
        <v>1334</v>
      </c>
      <c r="B1303" s="2" t="n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0" t="n">
        <v>1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2</v>
      </c>
      <c r="N1303" s="0" t="n">
        <v>0</v>
      </c>
      <c r="P1303" s="0" t="n">
        <v>70</v>
      </c>
      <c r="Q1303" s="0" t="str">
        <f aca="false">IF($C1303="Control",$P1303,"")</f>
        <v/>
      </c>
      <c r="R1303" s="3" t="n">
        <f aca="false">IF($C1303="Treatment",$P1303,"")</f>
        <v>70</v>
      </c>
      <c r="S1303" s="0" t="str">
        <f aca="false">IF(AND($C1303="Control",$K1303=1),$L1303,"")</f>
        <v/>
      </c>
      <c r="T1303" s="0" t="str">
        <f aca="false">IF(AND($C1303="Treatment",$K1303=1),$L1303,"")</f>
        <v/>
      </c>
    </row>
    <row r="1304" customFormat="false" ht="15" hidden="false" customHeight="false" outlineLevel="0" collapsed="false">
      <c r="A1304" s="0" t="s">
        <v>1335</v>
      </c>
      <c r="B1304" s="2" t="n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0" t="n">
        <v>1</v>
      </c>
      <c r="I1304" s="0" t="n">
        <v>1</v>
      </c>
      <c r="J1304" s="0" t="n">
        <v>1</v>
      </c>
      <c r="K1304" s="0" t="n">
        <v>0</v>
      </c>
      <c r="L1304" s="0" t="n">
        <v>0</v>
      </c>
      <c r="M1304" s="0" t="n">
        <v>0</v>
      </c>
      <c r="N1304" s="0" t="n">
        <v>0</v>
      </c>
      <c r="P1304" s="0" t="n">
        <v>51.1</v>
      </c>
      <c r="Q1304" s="0" t="str">
        <f aca="false">IF($C1304="Control",$P1304,"")</f>
        <v/>
      </c>
      <c r="R1304" s="3" t="n">
        <f aca="false">IF($C1304="Treatment",$P1304,"")</f>
        <v>51.1</v>
      </c>
      <c r="S1304" s="0" t="str">
        <f aca="false">IF(AND($C1304="Control",$K1304=1),$L1304,"")</f>
        <v/>
      </c>
      <c r="T1304" s="0" t="str">
        <f aca="false">IF(AND($C1304="Treatment",$K1304=1),$L1304,"")</f>
        <v/>
      </c>
    </row>
    <row r="1305" customFormat="false" ht="15" hidden="false" customHeight="false" outlineLevel="0" collapsed="false">
      <c r="A1305" s="0" t="s">
        <v>1336</v>
      </c>
      <c r="B1305" s="2" t="n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0" t="n">
        <v>1</v>
      </c>
      <c r="I1305" s="0" t="n">
        <v>1</v>
      </c>
      <c r="J1305" s="0" t="n">
        <v>1</v>
      </c>
      <c r="K1305" s="0" t="n">
        <v>0</v>
      </c>
      <c r="L1305" s="0" t="n">
        <v>0</v>
      </c>
      <c r="M1305" s="0" t="n">
        <v>0</v>
      </c>
      <c r="N1305" s="0" t="n">
        <v>0</v>
      </c>
      <c r="P1305" s="0" t="n">
        <v>57</v>
      </c>
      <c r="Q1305" s="0" t="str">
        <f aca="false">IF($C1305="Control",$P1305,"")</f>
        <v/>
      </c>
      <c r="R1305" s="3" t="n">
        <f aca="false">IF($C1305="Treatment",$P1305,"")</f>
        <v>57</v>
      </c>
      <c r="S1305" s="0" t="str">
        <f aca="false">IF(AND($C1305="Control",$K1305=1),$L1305,"")</f>
        <v/>
      </c>
      <c r="T1305" s="0" t="str">
        <f aca="false">IF(AND($C1305="Treatment",$K1305=1),$L1305,"")</f>
        <v/>
      </c>
    </row>
    <row r="1306" customFormat="false" ht="15" hidden="false" customHeight="false" outlineLevel="0" collapsed="false">
      <c r="A1306" s="0" t="s">
        <v>1337</v>
      </c>
      <c r="B1306" s="2" t="n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0</v>
      </c>
      <c r="P1306" s="0" t="n">
        <v>47.1</v>
      </c>
      <c r="Q1306" s="0" t="str">
        <f aca="false">IF($C1306="Control",$P1306,"")</f>
        <v/>
      </c>
      <c r="R1306" s="3" t="n">
        <f aca="false">IF($C1306="Treatment",$P1306,"")</f>
        <v>47.1</v>
      </c>
      <c r="S1306" s="0" t="str">
        <f aca="false">IF(AND($C1306="Control",$K1306=1),$L1306,"")</f>
        <v/>
      </c>
      <c r="T1306" s="0" t="str">
        <f aca="false">IF(AND($C1306="Treatment",$K1306=1),$L1306,"")</f>
        <v/>
      </c>
    </row>
    <row r="1307" customFormat="false" ht="15" hidden="false" customHeight="false" outlineLevel="0" collapsed="false">
      <c r="A1307" s="0" t="s">
        <v>1338</v>
      </c>
      <c r="B1307" s="2" t="n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P1307" s="0" t="n">
        <v>30.7</v>
      </c>
      <c r="Q1307" s="0" t="str">
        <f aca="false">IF($C1307="Control",$P1307,"")</f>
        <v/>
      </c>
      <c r="R1307" s="3" t="n">
        <f aca="false">IF($C1307="Treatment",$P1307,"")</f>
        <v>30.7</v>
      </c>
      <c r="S1307" s="0" t="str">
        <f aca="false">IF(AND($C1307="Control",$K1307=1),$L1307,"")</f>
        <v/>
      </c>
      <c r="T1307" s="0" t="str">
        <f aca="false">IF(AND($C1307="Treatment",$K1307=1),$L1307,"")</f>
        <v/>
      </c>
    </row>
    <row r="1308" customFormat="false" ht="15" hidden="false" customHeight="false" outlineLevel="0" collapsed="false">
      <c r="A1308" s="0" t="s">
        <v>1339</v>
      </c>
      <c r="B1308" s="2" t="n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0" t="n">
        <v>1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P1308" s="0" t="n">
        <v>57.3</v>
      </c>
      <c r="Q1308" s="0" t="str">
        <f aca="false">IF($C1308="Control",$P1308,"")</f>
        <v/>
      </c>
      <c r="R1308" s="3" t="n">
        <f aca="false">IF($C1308="Treatment",$P1308,"")</f>
        <v>57.3</v>
      </c>
      <c r="S1308" s="0" t="str">
        <f aca="false">IF(AND($C1308="Control",$K1308=1),$L1308,"")</f>
        <v/>
      </c>
      <c r="T1308" s="0" t="str">
        <f aca="false">IF(AND($C1308="Treatment",$K1308=1),$L1308,"")</f>
        <v/>
      </c>
    </row>
    <row r="1309" customFormat="false" ht="15" hidden="false" customHeight="false" outlineLevel="0" collapsed="false">
      <c r="A1309" s="0" t="s">
        <v>1340</v>
      </c>
      <c r="B1309" s="2" t="n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0" t="n">
        <v>1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P1309" s="0" t="n">
        <v>70</v>
      </c>
      <c r="Q1309" s="0" t="str">
        <f aca="false">IF($C1309="Control",$P1309,"")</f>
        <v/>
      </c>
      <c r="R1309" s="3" t="n">
        <f aca="false">IF($C1309="Treatment",$P1309,"")</f>
        <v>70</v>
      </c>
      <c r="S1309" s="0" t="str">
        <f aca="false">IF(AND($C1309="Control",$K1309=1),$L1309,"")</f>
        <v/>
      </c>
      <c r="T1309" s="0" t="str">
        <f aca="false">IF(AND($C1309="Treatment",$K1309=1),$L1309,"")</f>
        <v/>
      </c>
    </row>
    <row r="1310" customFormat="false" ht="15" hidden="false" customHeight="false" outlineLevel="0" collapsed="false">
      <c r="A1310" s="0" t="s">
        <v>1341</v>
      </c>
      <c r="B1310" s="2" t="n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0" t="n">
        <v>1</v>
      </c>
      <c r="I1310" s="0" t="n">
        <v>1</v>
      </c>
      <c r="J1310" s="0" t="n">
        <v>1</v>
      </c>
      <c r="K1310" s="0" t="n">
        <v>0</v>
      </c>
      <c r="L1310" s="0" t="n">
        <v>0</v>
      </c>
      <c r="M1310" s="0" t="n">
        <v>0</v>
      </c>
      <c r="N1310" s="0" t="n">
        <v>0</v>
      </c>
      <c r="P1310" s="0" t="n">
        <v>59.7</v>
      </c>
      <c r="Q1310" s="0" t="str">
        <f aca="false">IF($C1310="Control",$P1310,"")</f>
        <v/>
      </c>
      <c r="R1310" s="3" t="n">
        <f aca="false">IF($C1310="Treatment",$P1310,"")</f>
        <v>59.7</v>
      </c>
      <c r="S1310" s="0" t="str">
        <f aca="false">IF(AND($C1310="Control",$K1310=1),$L1310,"")</f>
        <v/>
      </c>
      <c r="T1310" s="0" t="str">
        <f aca="false">IF(AND($C1310="Treatment",$K1310=1),$L1310,"")</f>
        <v/>
      </c>
    </row>
    <row r="1311" customFormat="false" ht="15" hidden="false" customHeight="false" outlineLevel="0" collapsed="false">
      <c r="A1311" s="0" t="s">
        <v>1342</v>
      </c>
      <c r="B1311" s="2" t="n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0" t="n">
        <v>1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P1311" s="0" t="n">
        <v>68.8</v>
      </c>
      <c r="Q1311" s="0" t="str">
        <f aca="false">IF($C1311="Control",$P1311,"")</f>
        <v/>
      </c>
      <c r="R1311" s="3" t="n">
        <f aca="false">IF($C1311="Treatment",$P1311,"")</f>
        <v>68.8</v>
      </c>
      <c r="S1311" s="0" t="str">
        <f aca="false">IF(AND($C1311="Control",$K1311=1),$L1311,"")</f>
        <v/>
      </c>
      <c r="T1311" s="0" t="str">
        <f aca="false">IF(AND($C1311="Treatment",$K1311=1),$L1311,"")</f>
        <v/>
      </c>
    </row>
    <row r="1312" customFormat="false" ht="15" hidden="false" customHeight="false" outlineLevel="0" collapsed="false">
      <c r="A1312" s="0" t="s">
        <v>1343</v>
      </c>
      <c r="B1312" s="2" t="n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0" t="n">
        <v>1</v>
      </c>
      <c r="I1312" s="0" t="n">
        <v>1</v>
      </c>
      <c r="J1312" s="0" t="n">
        <v>1</v>
      </c>
      <c r="K1312" s="0" t="n">
        <v>1</v>
      </c>
      <c r="L1312" s="0" t="n">
        <v>428.37</v>
      </c>
      <c r="M1312" s="0" t="n">
        <v>0</v>
      </c>
      <c r="N1312" s="0" t="n">
        <v>0</v>
      </c>
      <c r="O1312" s="0" t="n">
        <v>9</v>
      </c>
      <c r="P1312" s="0" t="n">
        <v>88.3</v>
      </c>
      <c r="Q1312" s="0" t="str">
        <f aca="false">IF($C1312="Control",$P1312,"")</f>
        <v/>
      </c>
      <c r="R1312" s="3" t="n">
        <f aca="false">IF($C1312="Treatment",$P1312,"")</f>
        <v>88.3</v>
      </c>
      <c r="S1312" s="0" t="str">
        <f aca="false">IF(AND($C1312="Control",$K1312=1),$L1312,"")</f>
        <v/>
      </c>
      <c r="T1312" s="3" t="n">
        <f aca="false">IF(AND($C1312="Treatment",$K1312=1),$L1312,"")</f>
        <v>428.37</v>
      </c>
    </row>
    <row r="1313" customFormat="false" ht="15" hidden="false" customHeight="false" outlineLevel="0" collapsed="false">
      <c r="A1313" s="0" t="s">
        <v>1344</v>
      </c>
      <c r="B1313" s="2" t="n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P1313" s="0" t="n">
        <v>83.4</v>
      </c>
      <c r="Q1313" s="0" t="str">
        <f aca="false">IF($C1313="Control",$P1313,"")</f>
        <v/>
      </c>
      <c r="R1313" s="3" t="n">
        <f aca="false">IF($C1313="Treatment",$P1313,"")</f>
        <v>83.4</v>
      </c>
      <c r="S1313" s="0" t="str">
        <f aca="false">IF(AND($C1313="Control",$K1313=1),$L1313,"")</f>
        <v/>
      </c>
      <c r="T1313" s="0" t="str">
        <f aca="false">IF(AND($C1313="Treatment",$K1313=1),$L1313,"")</f>
        <v/>
      </c>
    </row>
    <row r="1314" customFormat="false" ht="15" hidden="false" customHeight="false" outlineLevel="0" collapsed="false">
      <c r="A1314" s="0" t="s">
        <v>1345</v>
      </c>
      <c r="B1314" s="2" t="n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0</v>
      </c>
      <c r="P1314" s="0" t="n">
        <v>81.6</v>
      </c>
      <c r="Q1314" s="0" t="str">
        <f aca="false">IF($C1314="Control",$P1314,"")</f>
        <v/>
      </c>
      <c r="R1314" s="3" t="n">
        <f aca="false">IF($C1314="Treatment",$P1314,"")</f>
        <v>81.6</v>
      </c>
      <c r="S1314" s="0" t="str">
        <f aca="false">IF(AND($C1314="Control",$K1314=1),$L1314,"")</f>
        <v/>
      </c>
      <c r="T1314" s="0" t="str">
        <f aca="false">IF(AND($C1314="Treatment",$K1314=1),$L1314,"")</f>
        <v/>
      </c>
    </row>
    <row r="1315" customFormat="false" ht="15" hidden="false" customHeight="false" outlineLevel="0" collapsed="false">
      <c r="A1315" s="0" t="s">
        <v>1346</v>
      </c>
      <c r="B1315" s="2" t="n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0" t="n">
        <v>1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P1315" s="0" t="n">
        <v>91.6</v>
      </c>
      <c r="Q1315" s="0" t="str">
        <f aca="false">IF($C1315="Control",$P1315,"")</f>
        <v/>
      </c>
      <c r="R1315" s="3" t="n">
        <f aca="false">IF($C1315="Treatment",$P1315,"")</f>
        <v>91.6</v>
      </c>
      <c r="S1315" s="0" t="str">
        <f aca="false">IF(AND($C1315="Control",$K1315=1),$L1315,"")</f>
        <v/>
      </c>
      <c r="T1315" s="0" t="str">
        <f aca="false">IF(AND($C1315="Treatment",$K1315=1),$L1315,"")</f>
        <v/>
      </c>
    </row>
    <row r="1316" customFormat="false" ht="15" hidden="false" customHeight="false" outlineLevel="0" collapsed="false">
      <c r="A1316" s="0" t="s">
        <v>1347</v>
      </c>
      <c r="B1316" s="2" t="n">
        <v>45665</v>
      </c>
      <c r="C1316" s="3" t="s">
        <v>723</v>
      </c>
      <c r="D1316" s="3" t="s">
        <v>28</v>
      </c>
      <c r="E1316" s="3" t="s">
        <v>34</v>
      </c>
      <c r="F1316" s="3" t="s">
        <v>1470</v>
      </c>
      <c r="G1316" s="3" t="s">
        <v>30</v>
      </c>
      <c r="H1316" s="0" t="n">
        <v>1</v>
      </c>
      <c r="I1316" s="0" t="n">
        <v>1</v>
      </c>
      <c r="J1316" s="0" t="n">
        <v>1</v>
      </c>
      <c r="K1316" s="0" t="n">
        <v>0</v>
      </c>
      <c r="L1316" s="0" t="n">
        <v>0</v>
      </c>
      <c r="M1316" s="0" t="n">
        <v>1</v>
      </c>
      <c r="N1316" s="0" t="n">
        <v>0</v>
      </c>
      <c r="P1316" s="0" t="n">
        <v>61.5</v>
      </c>
      <c r="Q1316" s="0" t="str">
        <f aca="false">IF($C1316="Control",$P1316,"")</f>
        <v/>
      </c>
      <c r="R1316" s="3" t="n">
        <f aca="false">IF($C1316="Treatment",$P1316,"")</f>
        <v>61.5</v>
      </c>
      <c r="S1316" s="0" t="str">
        <f aca="false">IF(AND($C1316="Control",$K1316=1),$L1316,"")</f>
        <v/>
      </c>
      <c r="T1316" s="0" t="str">
        <f aca="false">IF(AND($C1316="Treatment",$K1316=1),$L1316,"")</f>
        <v/>
      </c>
    </row>
    <row r="1317" customFormat="false" ht="15" hidden="false" customHeight="false" outlineLevel="0" collapsed="false">
      <c r="A1317" s="0" t="s">
        <v>1348</v>
      </c>
      <c r="B1317" s="2" t="n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  <c r="Q1317" s="0" t="str">
        <f aca="false">IF($C1317="Control",$P1317,"")</f>
        <v/>
      </c>
      <c r="R1317" s="3" t="n">
        <f aca="false">IF($C1317="Treatment",$P1317,"")</f>
        <v>0</v>
      </c>
      <c r="S1317" s="0" t="str">
        <f aca="false">IF(AND($C1317="Control",$K1317=1),$L1317,"")</f>
        <v/>
      </c>
      <c r="T1317" s="0" t="str">
        <f aca="false">IF(AND($C1317="Treatment",$K1317=1),$L1317,"")</f>
        <v/>
      </c>
    </row>
    <row r="1318" customFormat="false" ht="15" hidden="false" customHeight="false" outlineLevel="0" collapsed="false">
      <c r="A1318" s="0" t="s">
        <v>1349</v>
      </c>
      <c r="B1318" s="2" t="n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0" t="n">
        <v>1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P1318" s="0" t="n">
        <v>32.6</v>
      </c>
      <c r="Q1318" s="0" t="str">
        <f aca="false">IF($C1318="Control",$P1318,"")</f>
        <v/>
      </c>
      <c r="R1318" s="3" t="n">
        <f aca="false">IF($C1318="Treatment",$P1318,"")</f>
        <v>32.6</v>
      </c>
      <c r="S1318" s="0" t="str">
        <f aca="false">IF(AND($C1318="Control",$K1318=1),$L1318,"")</f>
        <v/>
      </c>
      <c r="T1318" s="0" t="str">
        <f aca="false">IF(AND($C1318="Treatment",$K1318=1),$L1318,"")</f>
        <v/>
      </c>
    </row>
    <row r="1319" customFormat="false" ht="15" hidden="false" customHeight="false" outlineLevel="0" collapsed="false">
      <c r="A1319" s="0" t="s">
        <v>1350</v>
      </c>
      <c r="B1319" s="2" t="n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0" t="n">
        <v>1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P1319" s="0" t="n">
        <v>73.9</v>
      </c>
      <c r="Q1319" s="0" t="str">
        <f aca="false">IF($C1319="Control",$P1319,"")</f>
        <v/>
      </c>
      <c r="R1319" s="3" t="n">
        <f aca="false">IF($C1319="Treatment",$P1319,"")</f>
        <v>73.9</v>
      </c>
      <c r="S1319" s="0" t="str">
        <f aca="false">IF(AND($C1319="Control",$K1319=1),$L1319,"")</f>
        <v/>
      </c>
      <c r="T1319" s="0" t="str">
        <f aca="false">IF(AND($C1319="Treatment",$K1319=1),$L1319,"")</f>
        <v/>
      </c>
    </row>
    <row r="1320" customFormat="false" ht="15" hidden="false" customHeight="false" outlineLevel="0" collapsed="false">
      <c r="A1320" s="0" t="s">
        <v>1351</v>
      </c>
      <c r="B1320" s="2" t="n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0" t="n">
        <v>1</v>
      </c>
      <c r="I1320" s="0" t="n">
        <v>1</v>
      </c>
      <c r="J1320" s="0" t="n">
        <v>1</v>
      </c>
      <c r="K1320" s="0" t="n">
        <v>1</v>
      </c>
      <c r="L1320" s="0" t="n">
        <v>444.06</v>
      </c>
      <c r="M1320" s="0" t="n">
        <v>0</v>
      </c>
      <c r="N1320" s="0" t="n">
        <v>0</v>
      </c>
      <c r="O1320" s="0" t="n">
        <v>9</v>
      </c>
      <c r="P1320" s="0" t="n">
        <v>99.9</v>
      </c>
      <c r="Q1320" s="0" t="str">
        <f aca="false">IF($C1320="Control",$P1320,"")</f>
        <v/>
      </c>
      <c r="R1320" s="3" t="n">
        <f aca="false">IF($C1320="Treatment",$P1320,"")</f>
        <v>99.9</v>
      </c>
      <c r="S1320" s="0" t="str">
        <f aca="false">IF(AND($C1320="Control",$K1320=1),$L1320,"")</f>
        <v/>
      </c>
      <c r="T1320" s="3" t="n">
        <f aca="false">IF(AND($C1320="Treatment",$K1320=1),$L1320,"")</f>
        <v>444.06</v>
      </c>
    </row>
    <row r="1321" customFormat="false" ht="15" hidden="false" customHeight="false" outlineLevel="0" collapsed="false">
      <c r="A1321" s="0" t="s">
        <v>1352</v>
      </c>
      <c r="B1321" s="2" t="n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0" t="n">
        <v>1</v>
      </c>
      <c r="I1321" s="0" t="n">
        <v>1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0</v>
      </c>
      <c r="P1321" s="0" t="n">
        <v>62.4</v>
      </c>
      <c r="Q1321" s="0" t="str">
        <f aca="false">IF($C1321="Control",$P1321,"")</f>
        <v/>
      </c>
      <c r="R1321" s="3" t="n">
        <f aca="false">IF($C1321="Treatment",$P1321,"")</f>
        <v>62.4</v>
      </c>
      <c r="S1321" s="0" t="str">
        <f aca="false">IF(AND($C1321="Control",$K1321=1),$L1321,"")</f>
        <v/>
      </c>
      <c r="T1321" s="0" t="str">
        <f aca="false">IF(AND($C1321="Treatment",$K1321=1),$L1321,"")</f>
        <v/>
      </c>
    </row>
    <row r="1322" customFormat="false" ht="15" hidden="false" customHeight="false" outlineLevel="0" collapsed="false">
      <c r="A1322" s="0" t="s">
        <v>1353</v>
      </c>
      <c r="B1322" s="2" t="n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0" t="n">
        <v>1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P1322" s="0" t="n">
        <v>46.1</v>
      </c>
      <c r="Q1322" s="0" t="str">
        <f aca="false">IF($C1322="Control",$P1322,"")</f>
        <v/>
      </c>
      <c r="R1322" s="3" t="n">
        <f aca="false">IF($C1322="Treatment",$P1322,"")</f>
        <v>46.1</v>
      </c>
      <c r="S1322" s="0" t="str">
        <f aca="false">IF(AND($C1322="Control",$K1322=1),$L1322,"")</f>
        <v/>
      </c>
      <c r="T1322" s="0" t="str">
        <f aca="false">IF(AND($C1322="Treatment",$K1322=1),$L1322,"")</f>
        <v/>
      </c>
    </row>
    <row r="1323" customFormat="false" ht="15" hidden="false" customHeight="false" outlineLevel="0" collapsed="false">
      <c r="A1323" s="0" t="s">
        <v>1354</v>
      </c>
      <c r="B1323" s="2" t="n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0" t="n">
        <v>1</v>
      </c>
      <c r="I1323" s="0" t="n">
        <v>1</v>
      </c>
      <c r="J1323" s="0" t="n">
        <v>1</v>
      </c>
      <c r="K1323" s="0" t="n">
        <v>1</v>
      </c>
      <c r="L1323" s="0" t="n">
        <v>2660.21</v>
      </c>
      <c r="M1323" s="0" t="n">
        <v>0</v>
      </c>
      <c r="N1323" s="0" t="n">
        <v>0</v>
      </c>
      <c r="O1323" s="0" t="n">
        <v>3</v>
      </c>
      <c r="P1323" s="0" t="n">
        <v>73.9</v>
      </c>
      <c r="Q1323" s="0" t="str">
        <f aca="false">IF($C1323="Control",$P1323,"")</f>
        <v/>
      </c>
      <c r="R1323" s="3" t="n">
        <f aca="false">IF($C1323="Treatment",$P1323,"")</f>
        <v>73.9</v>
      </c>
      <c r="S1323" s="0" t="str">
        <f aca="false">IF(AND($C1323="Control",$K1323=1),$L1323,"")</f>
        <v/>
      </c>
      <c r="T1323" s="3" t="n">
        <f aca="false">IF(AND($C1323="Treatment",$K1323=1),$L1323,"")</f>
        <v>2660.21</v>
      </c>
    </row>
    <row r="1324" customFormat="false" ht="15" hidden="false" customHeight="false" outlineLevel="0" collapsed="false">
      <c r="A1324" s="0" t="s">
        <v>1355</v>
      </c>
      <c r="B1324" s="2" t="n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P1324" s="0" t="n">
        <v>90</v>
      </c>
      <c r="Q1324" s="0" t="str">
        <f aca="false">IF($C1324="Control",$P1324,"")</f>
        <v/>
      </c>
      <c r="R1324" s="3" t="n">
        <f aca="false">IF($C1324="Treatment",$P1324,"")</f>
        <v>90</v>
      </c>
      <c r="S1324" s="0" t="str">
        <f aca="false">IF(AND($C1324="Control",$K1324=1),$L1324,"")</f>
        <v/>
      </c>
      <c r="T1324" s="0" t="str">
        <f aca="false">IF(AND($C1324="Treatment",$K1324=1),$L1324,"")</f>
        <v/>
      </c>
    </row>
    <row r="1325" customFormat="false" ht="15" hidden="false" customHeight="false" outlineLevel="0" collapsed="false">
      <c r="A1325" s="0" t="s">
        <v>1356</v>
      </c>
      <c r="B1325" s="2" t="n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0" t="n">
        <v>1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0</v>
      </c>
      <c r="P1325" s="0" t="n">
        <v>68.8</v>
      </c>
      <c r="Q1325" s="0" t="str">
        <f aca="false">IF($C1325="Control",$P1325,"")</f>
        <v/>
      </c>
      <c r="R1325" s="3" t="n">
        <f aca="false">IF($C1325="Treatment",$P1325,"")</f>
        <v>68.8</v>
      </c>
      <c r="S1325" s="0" t="str">
        <f aca="false">IF(AND($C1325="Control",$K1325=1),$L1325,"")</f>
        <v/>
      </c>
      <c r="T1325" s="0" t="str">
        <f aca="false">IF(AND($C1325="Treatment",$K1325=1),$L1325,"")</f>
        <v/>
      </c>
    </row>
    <row r="1326" customFormat="false" ht="15" hidden="false" customHeight="false" outlineLevel="0" collapsed="false">
      <c r="A1326" s="0" t="s">
        <v>1357</v>
      </c>
      <c r="B1326" s="2" t="n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0" t="n">
        <v>1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P1326" s="0" t="n">
        <v>66.6</v>
      </c>
      <c r="Q1326" s="0" t="str">
        <f aca="false">IF($C1326="Control",$P1326,"")</f>
        <v/>
      </c>
      <c r="R1326" s="3" t="n">
        <f aca="false">IF($C1326="Treatment",$P1326,"")</f>
        <v>66.6</v>
      </c>
      <c r="S1326" s="0" t="str">
        <f aca="false">IF(AND($C1326="Control",$K1326=1),$L1326,"")</f>
        <v/>
      </c>
      <c r="T1326" s="0" t="str">
        <f aca="false">IF(AND($C1326="Treatment",$K1326=1),$L1326,"")</f>
        <v/>
      </c>
    </row>
    <row r="1327" customFormat="false" ht="15" hidden="false" customHeight="false" outlineLevel="0" collapsed="false">
      <c r="A1327" s="0" t="s">
        <v>1358</v>
      </c>
      <c r="B1327" s="2" t="n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0" t="n">
        <v>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P1327" s="0" t="n">
        <v>49.7</v>
      </c>
      <c r="Q1327" s="0" t="str">
        <f aca="false">IF($C1327="Control",$P1327,"")</f>
        <v/>
      </c>
      <c r="R1327" s="3" t="n">
        <f aca="false">IF($C1327="Treatment",$P1327,"")</f>
        <v>49.7</v>
      </c>
      <c r="S1327" s="0" t="str">
        <f aca="false">IF(AND($C1327="Control",$K1327=1),$L1327,"")</f>
        <v/>
      </c>
      <c r="T1327" s="0" t="str">
        <f aca="false">IF(AND($C1327="Treatment",$K1327=1),$L1327,"")</f>
        <v/>
      </c>
    </row>
    <row r="1328" customFormat="false" ht="15" hidden="false" customHeight="false" outlineLevel="0" collapsed="false">
      <c r="A1328" s="0" t="s">
        <v>1359</v>
      </c>
      <c r="B1328" s="2" t="n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P1328" s="0" t="n">
        <v>67.9</v>
      </c>
      <c r="Q1328" s="0" t="str">
        <f aca="false">IF($C1328="Control",$P1328,"")</f>
        <v/>
      </c>
      <c r="R1328" s="3" t="n">
        <f aca="false">IF($C1328="Treatment",$P1328,"")</f>
        <v>67.9</v>
      </c>
      <c r="S1328" s="0" t="str">
        <f aca="false">IF(AND($C1328="Control",$K1328=1),$L1328,"")</f>
        <v/>
      </c>
      <c r="T1328" s="0" t="str">
        <f aca="false">IF(AND($C1328="Treatment",$K1328=1),$L1328,"")</f>
        <v/>
      </c>
    </row>
    <row r="1329" customFormat="false" ht="15" hidden="false" customHeight="false" outlineLevel="0" collapsed="false">
      <c r="A1329" s="0" t="s">
        <v>1360</v>
      </c>
      <c r="B1329" s="2" t="n">
        <v>45777</v>
      </c>
      <c r="C1329" s="3" t="s">
        <v>723</v>
      </c>
      <c r="D1329" s="3" t="s">
        <v>23</v>
      </c>
      <c r="E1329" s="3" t="s">
        <v>24</v>
      </c>
      <c r="F1329" s="3" t="s">
        <v>1470</v>
      </c>
      <c r="G1329" s="3" t="s">
        <v>21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P1329" s="0" t="n">
        <v>66.9</v>
      </c>
      <c r="Q1329" s="0" t="str">
        <f aca="false">IF($C1329="Control",$P1329,"")</f>
        <v/>
      </c>
      <c r="R1329" s="3" t="n">
        <f aca="false">IF($C1329="Treatment",$P1329,"")</f>
        <v>66.9</v>
      </c>
      <c r="S1329" s="0" t="str">
        <f aca="false">IF(AND($C1329="Control",$K1329=1),$L1329,"")</f>
        <v/>
      </c>
      <c r="T1329" s="0" t="str">
        <f aca="false">IF(AND($C1329="Treatment",$K1329=1),$L1329,"")</f>
        <v/>
      </c>
    </row>
    <row r="1330" customFormat="false" ht="15" hidden="false" customHeight="false" outlineLevel="0" collapsed="false">
      <c r="A1330" s="0" t="s">
        <v>1361</v>
      </c>
      <c r="B1330" s="2" t="n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P1330" s="0" t="n">
        <v>46.1</v>
      </c>
      <c r="Q1330" s="0" t="str">
        <f aca="false">IF($C1330="Control",$P1330,"")</f>
        <v/>
      </c>
      <c r="R1330" s="3" t="n">
        <f aca="false">IF($C1330="Treatment",$P1330,"")</f>
        <v>46.1</v>
      </c>
      <c r="S1330" s="0" t="str">
        <f aca="false">IF(AND($C1330="Control",$K1330=1),$L1330,"")</f>
        <v/>
      </c>
      <c r="T1330" s="0" t="str">
        <f aca="false">IF(AND($C1330="Treatment",$K1330=1),$L1330,"")</f>
        <v/>
      </c>
    </row>
    <row r="1331" customFormat="false" ht="15" hidden="false" customHeight="false" outlineLevel="0" collapsed="false">
      <c r="A1331" s="0" t="s">
        <v>1362</v>
      </c>
      <c r="B1331" s="2" t="n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0" t="n">
        <v>1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P1331" s="0" t="n">
        <v>85.6</v>
      </c>
      <c r="Q1331" s="0" t="str">
        <f aca="false">IF($C1331="Control",$P1331,"")</f>
        <v/>
      </c>
      <c r="R1331" s="3" t="n">
        <f aca="false">IF($C1331="Treatment",$P1331,"")</f>
        <v>85.6</v>
      </c>
      <c r="S1331" s="0" t="str">
        <f aca="false">IF(AND($C1331="Control",$K1331=1),$L1331,"")</f>
        <v/>
      </c>
      <c r="T1331" s="0" t="str">
        <f aca="false">IF(AND($C1331="Treatment",$K1331=1),$L1331,"")</f>
        <v/>
      </c>
    </row>
    <row r="1332" customFormat="false" ht="15" hidden="false" customHeight="false" outlineLevel="0" collapsed="false">
      <c r="A1332" s="0" t="s">
        <v>1363</v>
      </c>
      <c r="B1332" s="2" t="n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P1332" s="0" t="n">
        <v>39.6</v>
      </c>
      <c r="Q1332" s="0" t="str">
        <f aca="false">IF($C1332="Control",$P1332,"")</f>
        <v/>
      </c>
      <c r="R1332" s="3" t="n">
        <f aca="false">IF($C1332="Treatment",$P1332,"")</f>
        <v>39.6</v>
      </c>
      <c r="S1332" s="0" t="str">
        <f aca="false">IF(AND($C1332="Control",$K1332=1),$L1332,"")</f>
        <v/>
      </c>
      <c r="T1332" s="0" t="str">
        <f aca="false">IF(AND($C1332="Treatment",$K1332=1),$L1332,"")</f>
        <v/>
      </c>
    </row>
    <row r="1333" customFormat="false" ht="15" hidden="false" customHeight="false" outlineLevel="0" collapsed="false">
      <c r="A1333" s="0" t="s">
        <v>1364</v>
      </c>
      <c r="B1333" s="2" t="n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0" t="n">
        <v>1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P1333" s="0" t="n">
        <v>52.5</v>
      </c>
      <c r="Q1333" s="0" t="str">
        <f aca="false">IF($C1333="Control",$P1333,"")</f>
        <v/>
      </c>
      <c r="R1333" s="3" t="n">
        <f aca="false">IF($C1333="Treatment",$P1333,"")</f>
        <v>52.5</v>
      </c>
      <c r="S1333" s="0" t="str">
        <f aca="false">IF(AND($C1333="Control",$K1333=1),$L1333,"")</f>
        <v/>
      </c>
      <c r="T1333" s="0" t="str">
        <f aca="false">IF(AND($C1333="Treatment",$K1333=1),$L1333,"")</f>
        <v/>
      </c>
    </row>
    <row r="1334" customFormat="false" ht="15" hidden="false" customHeight="false" outlineLevel="0" collapsed="false">
      <c r="A1334" s="0" t="s">
        <v>1365</v>
      </c>
      <c r="B1334" s="2" t="n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0" t="n">
        <v>1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P1334" s="0" t="n">
        <v>73.5</v>
      </c>
      <c r="Q1334" s="0" t="str">
        <f aca="false">IF($C1334="Control",$P1334,"")</f>
        <v/>
      </c>
      <c r="R1334" s="3" t="n">
        <f aca="false">IF($C1334="Treatment",$P1334,"")</f>
        <v>73.5</v>
      </c>
      <c r="S1334" s="0" t="str">
        <f aca="false">IF(AND($C1334="Control",$K1334=1),$L1334,"")</f>
        <v/>
      </c>
      <c r="T1334" s="0" t="str">
        <f aca="false">IF(AND($C1334="Treatment",$K1334=1),$L1334,"")</f>
        <v/>
      </c>
    </row>
    <row r="1335" customFormat="false" ht="15" hidden="false" customHeight="false" outlineLevel="0" collapsed="false">
      <c r="A1335" s="0" t="s">
        <v>1366</v>
      </c>
      <c r="B1335" s="2" t="n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P1335" s="0" t="n">
        <v>62.5</v>
      </c>
      <c r="Q1335" s="0" t="str">
        <f aca="false">IF($C1335="Control",$P1335,"")</f>
        <v/>
      </c>
      <c r="R1335" s="3" t="n">
        <f aca="false">IF($C1335="Treatment",$P1335,"")</f>
        <v>62.5</v>
      </c>
      <c r="S1335" s="0" t="str">
        <f aca="false">IF(AND($C1335="Control",$K1335=1),$L1335,"")</f>
        <v/>
      </c>
      <c r="T1335" s="0" t="str">
        <f aca="false">IF(AND($C1335="Treatment",$K1335=1),$L1335,"")</f>
        <v/>
      </c>
    </row>
    <row r="1336" customFormat="false" ht="15" hidden="false" customHeight="false" outlineLevel="0" collapsed="false">
      <c r="A1336" s="0" t="s">
        <v>1367</v>
      </c>
      <c r="B1336" s="2" t="n">
        <v>45763</v>
      </c>
      <c r="C1336" s="3" t="s">
        <v>723</v>
      </c>
      <c r="D1336" s="3" t="s">
        <v>32</v>
      </c>
      <c r="E1336" s="3" t="s">
        <v>1470</v>
      </c>
      <c r="F1336" s="3" t="s">
        <v>25</v>
      </c>
      <c r="G1336" s="3" t="s">
        <v>26</v>
      </c>
      <c r="H1336" s="0" t="n">
        <v>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P1336" s="0" t="n">
        <v>76.9</v>
      </c>
      <c r="Q1336" s="0" t="str">
        <f aca="false">IF($C1336="Control",$P1336,"")</f>
        <v/>
      </c>
      <c r="R1336" s="3" t="n">
        <f aca="false">IF($C1336="Treatment",$P1336,"")</f>
        <v>76.9</v>
      </c>
      <c r="S1336" s="0" t="str">
        <f aca="false">IF(AND($C1336="Control",$K1336=1),$L1336,"")</f>
        <v/>
      </c>
      <c r="T1336" s="0" t="str">
        <f aca="false">IF(AND($C1336="Treatment",$K1336=1),$L1336,"")</f>
        <v/>
      </c>
    </row>
    <row r="1337" customFormat="false" ht="15" hidden="false" customHeight="false" outlineLevel="0" collapsed="false">
      <c r="A1337" s="0" t="s">
        <v>1368</v>
      </c>
      <c r="B1337" s="2" t="n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0" t="n">
        <v>1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P1337" s="0" t="n">
        <v>51.4</v>
      </c>
      <c r="Q1337" s="0" t="str">
        <f aca="false">IF($C1337="Control",$P1337,"")</f>
        <v/>
      </c>
      <c r="R1337" s="3" t="n">
        <f aca="false">IF($C1337="Treatment",$P1337,"")</f>
        <v>51.4</v>
      </c>
      <c r="S1337" s="0" t="str">
        <f aca="false">IF(AND($C1337="Control",$K1337=1),$L1337,"")</f>
        <v/>
      </c>
      <c r="T1337" s="0" t="str">
        <f aca="false">IF(AND($C1337="Treatment",$K1337=1),$L1337,"")</f>
        <v/>
      </c>
    </row>
    <row r="1338" customFormat="false" ht="15" hidden="false" customHeight="false" outlineLevel="0" collapsed="false">
      <c r="A1338" s="0" t="s">
        <v>1369</v>
      </c>
      <c r="B1338" s="2" t="n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0" t="n">
        <v>1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P1338" s="0" t="n">
        <v>59.3</v>
      </c>
      <c r="Q1338" s="0" t="str">
        <f aca="false">IF($C1338="Control",$P1338,"")</f>
        <v/>
      </c>
      <c r="R1338" s="3" t="n">
        <f aca="false">IF($C1338="Treatment",$P1338,"")</f>
        <v>59.3</v>
      </c>
      <c r="S1338" s="0" t="str">
        <f aca="false">IF(AND($C1338="Control",$K1338=1),$L1338,"")</f>
        <v/>
      </c>
      <c r="T1338" s="0" t="str">
        <f aca="false">IF(AND($C1338="Treatment",$K1338=1),$L1338,"")</f>
        <v/>
      </c>
    </row>
    <row r="1339" customFormat="false" ht="15" hidden="false" customHeight="false" outlineLevel="0" collapsed="false">
      <c r="A1339" s="0" t="s">
        <v>1370</v>
      </c>
      <c r="B1339" s="2" t="n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P1339" s="0" t="n">
        <v>74.9</v>
      </c>
      <c r="Q1339" s="0" t="str">
        <f aca="false">IF($C1339="Control",$P1339,"")</f>
        <v/>
      </c>
      <c r="R1339" s="3" t="n">
        <f aca="false">IF($C1339="Treatment",$P1339,"")</f>
        <v>74.9</v>
      </c>
      <c r="S1339" s="0" t="str">
        <f aca="false">IF(AND($C1339="Control",$K1339=1),$L1339,"")</f>
        <v/>
      </c>
      <c r="T1339" s="0" t="str">
        <f aca="false">IF(AND($C1339="Treatment",$K1339=1),$L1339,"")</f>
        <v/>
      </c>
    </row>
    <row r="1340" customFormat="false" ht="15" hidden="false" customHeight="false" outlineLevel="0" collapsed="false">
      <c r="A1340" s="0" t="s">
        <v>1371</v>
      </c>
      <c r="B1340" s="2" t="n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0" t="n">
        <v>1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P1340" s="0" t="n">
        <v>67</v>
      </c>
      <c r="Q1340" s="0" t="str">
        <f aca="false">IF($C1340="Control",$P1340,"")</f>
        <v/>
      </c>
      <c r="R1340" s="3" t="n">
        <f aca="false">IF($C1340="Treatment",$P1340,"")</f>
        <v>67</v>
      </c>
      <c r="S1340" s="0" t="str">
        <f aca="false">IF(AND($C1340="Control",$K1340=1),$L1340,"")</f>
        <v/>
      </c>
      <c r="T1340" s="0" t="str">
        <f aca="false">IF(AND($C1340="Treatment",$K1340=1),$L1340,"")</f>
        <v/>
      </c>
    </row>
    <row r="1341" customFormat="false" ht="15" hidden="false" customHeight="false" outlineLevel="0" collapsed="false">
      <c r="A1341" s="0" t="s">
        <v>1372</v>
      </c>
      <c r="B1341" s="2" t="n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P1341" s="0" t="n">
        <v>63.6</v>
      </c>
      <c r="Q1341" s="0" t="str">
        <f aca="false">IF($C1341="Control",$P1341,"")</f>
        <v/>
      </c>
      <c r="R1341" s="3" t="n">
        <f aca="false">IF($C1341="Treatment",$P1341,"")</f>
        <v>63.6</v>
      </c>
      <c r="S1341" s="0" t="str">
        <f aca="false">IF(AND($C1341="Control",$K1341=1),$L1341,"")</f>
        <v/>
      </c>
      <c r="T1341" s="0" t="str">
        <f aca="false">IF(AND($C1341="Treatment",$K1341=1),$L1341,"")</f>
        <v/>
      </c>
    </row>
    <row r="1342" customFormat="false" ht="15" hidden="false" customHeight="false" outlineLevel="0" collapsed="false">
      <c r="A1342" s="0" t="s">
        <v>1373</v>
      </c>
      <c r="B1342" s="2" t="n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0" t="n">
        <v>1</v>
      </c>
      <c r="I1342" s="0" t="n">
        <v>1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0</v>
      </c>
      <c r="P1342" s="0" t="n">
        <v>58.4</v>
      </c>
      <c r="Q1342" s="0" t="str">
        <f aca="false">IF($C1342="Control",$P1342,"")</f>
        <v/>
      </c>
      <c r="R1342" s="3" t="n">
        <f aca="false">IF($C1342="Treatment",$P1342,"")</f>
        <v>58.4</v>
      </c>
      <c r="S1342" s="0" t="str">
        <f aca="false">IF(AND($C1342="Control",$K1342=1),$L1342,"")</f>
        <v/>
      </c>
      <c r="T1342" s="0" t="str">
        <f aca="false">IF(AND($C1342="Treatment",$K1342=1),$L1342,"")</f>
        <v/>
      </c>
    </row>
    <row r="1343" customFormat="false" ht="15" hidden="false" customHeight="false" outlineLevel="0" collapsed="false">
      <c r="A1343" s="0" t="s">
        <v>1374</v>
      </c>
      <c r="B1343" s="2" t="n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0" t="n">
        <v>1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P1343" s="0" t="n">
        <v>36.8</v>
      </c>
      <c r="Q1343" s="0" t="str">
        <f aca="false">IF($C1343="Control",$P1343,"")</f>
        <v/>
      </c>
      <c r="R1343" s="3" t="n">
        <f aca="false">IF($C1343="Treatment",$P1343,"")</f>
        <v>36.8</v>
      </c>
      <c r="S1343" s="0" t="str">
        <f aca="false">IF(AND($C1343="Control",$K1343=1),$L1343,"")</f>
        <v/>
      </c>
      <c r="T1343" s="0" t="str">
        <f aca="false">IF(AND($C1343="Treatment",$K1343=1),$L1343,"")</f>
        <v/>
      </c>
    </row>
    <row r="1344" customFormat="false" ht="15" hidden="false" customHeight="false" outlineLevel="0" collapsed="false">
      <c r="A1344" s="0" t="s">
        <v>1375</v>
      </c>
      <c r="B1344" s="2" t="n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0" t="n">
        <v>1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P1344" s="0" t="n">
        <v>71.6</v>
      </c>
      <c r="Q1344" s="0" t="str">
        <f aca="false">IF($C1344="Control",$P1344,"")</f>
        <v/>
      </c>
      <c r="R1344" s="3" t="n">
        <f aca="false">IF($C1344="Treatment",$P1344,"")</f>
        <v>71.6</v>
      </c>
      <c r="S1344" s="0" t="str">
        <f aca="false">IF(AND($C1344="Control",$K1344=1),$L1344,"")</f>
        <v/>
      </c>
      <c r="T1344" s="0" t="str">
        <f aca="false">IF(AND($C1344="Treatment",$K1344=1),$L1344,"")</f>
        <v/>
      </c>
    </row>
    <row r="1345" customFormat="false" ht="15" hidden="false" customHeight="false" outlineLevel="0" collapsed="false">
      <c r="A1345" s="0" t="s">
        <v>1376</v>
      </c>
      <c r="B1345" s="2" t="n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0" t="n">
        <v>1</v>
      </c>
      <c r="I1345" s="0" t="n">
        <v>1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0</v>
      </c>
      <c r="P1345" s="0" t="n">
        <v>79.7</v>
      </c>
      <c r="Q1345" s="0" t="str">
        <f aca="false">IF($C1345="Control",$P1345,"")</f>
        <v/>
      </c>
      <c r="R1345" s="3" t="n">
        <f aca="false">IF($C1345="Treatment",$P1345,"")</f>
        <v>79.7</v>
      </c>
      <c r="S1345" s="0" t="str">
        <f aca="false">IF(AND($C1345="Control",$K1345=1),$L1345,"")</f>
        <v/>
      </c>
      <c r="T1345" s="0" t="str">
        <f aca="false">IF(AND($C1345="Treatment",$K1345=1),$L1345,"")</f>
        <v/>
      </c>
    </row>
    <row r="1346" customFormat="false" ht="15" hidden="false" customHeight="false" outlineLevel="0" collapsed="false">
      <c r="A1346" s="0" t="s">
        <v>1377</v>
      </c>
      <c r="B1346" s="2" t="n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0" t="n">
        <v>1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0</v>
      </c>
      <c r="P1346" s="0" t="n">
        <v>56.5</v>
      </c>
      <c r="Q1346" s="0" t="str">
        <f aca="false">IF($C1346="Control",$P1346,"")</f>
        <v/>
      </c>
      <c r="R1346" s="3" t="n">
        <f aca="false">IF($C1346="Treatment",$P1346,"")</f>
        <v>56.5</v>
      </c>
      <c r="S1346" s="0" t="str">
        <f aca="false">IF(AND($C1346="Control",$K1346=1),$L1346,"")</f>
        <v/>
      </c>
      <c r="T1346" s="0" t="str">
        <f aca="false">IF(AND($C1346="Treatment",$K1346=1),$L1346,"")</f>
        <v/>
      </c>
    </row>
    <row r="1347" customFormat="false" ht="15" hidden="false" customHeight="false" outlineLevel="0" collapsed="false">
      <c r="A1347" s="0" t="s">
        <v>1378</v>
      </c>
      <c r="B1347" s="2" t="n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0" t="n">
        <v>1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P1347" s="0" t="n">
        <v>44.7</v>
      </c>
      <c r="Q1347" s="0" t="str">
        <f aca="false">IF($C1347="Control",$P1347,"")</f>
        <v/>
      </c>
      <c r="R1347" s="3" t="n">
        <f aca="false">IF($C1347="Treatment",$P1347,"")</f>
        <v>44.7</v>
      </c>
      <c r="S1347" s="0" t="str">
        <f aca="false">IF(AND($C1347="Control",$K1347=1),$L1347,"")</f>
        <v/>
      </c>
      <c r="T1347" s="0" t="str">
        <f aca="false">IF(AND($C1347="Treatment",$K1347=1),$L1347,"")</f>
        <v/>
      </c>
    </row>
    <row r="1348" customFormat="false" ht="15" hidden="false" customHeight="false" outlineLevel="0" collapsed="false">
      <c r="A1348" s="0" t="s">
        <v>1379</v>
      </c>
      <c r="B1348" s="2" t="n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0" t="n">
        <v>1</v>
      </c>
      <c r="I1348" s="0" t="n">
        <v>1</v>
      </c>
      <c r="J1348" s="0" t="n">
        <v>1</v>
      </c>
      <c r="K1348" s="0" t="n">
        <v>0</v>
      </c>
      <c r="L1348" s="0" t="n">
        <v>0</v>
      </c>
      <c r="M1348" s="0" t="n">
        <v>1</v>
      </c>
      <c r="N1348" s="0" t="n">
        <v>0</v>
      </c>
      <c r="P1348" s="0" t="n">
        <v>66</v>
      </c>
      <c r="Q1348" s="0" t="str">
        <f aca="false">IF($C1348="Control",$P1348,"")</f>
        <v/>
      </c>
      <c r="R1348" s="3" t="n">
        <f aca="false">IF($C1348="Treatment",$P1348,"")</f>
        <v>66</v>
      </c>
      <c r="S1348" s="0" t="str">
        <f aca="false">IF(AND($C1348="Control",$K1348=1),$L1348,"")</f>
        <v/>
      </c>
      <c r="T1348" s="0" t="str">
        <f aca="false">IF(AND($C1348="Treatment",$K1348=1),$L1348,"")</f>
        <v/>
      </c>
    </row>
    <row r="1349" customFormat="false" ht="15" hidden="false" customHeight="false" outlineLevel="0" collapsed="false">
      <c r="A1349" s="0" t="s">
        <v>1380</v>
      </c>
      <c r="B1349" s="2" t="n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0" t="n">
        <v>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P1349" s="0" t="n">
        <v>73</v>
      </c>
      <c r="Q1349" s="0" t="str">
        <f aca="false">IF($C1349="Control",$P1349,"")</f>
        <v/>
      </c>
      <c r="R1349" s="3" t="n">
        <f aca="false">IF($C1349="Treatment",$P1349,"")</f>
        <v>73</v>
      </c>
      <c r="S1349" s="0" t="str">
        <f aca="false">IF(AND($C1349="Control",$K1349=1),$L1349,"")</f>
        <v/>
      </c>
      <c r="T1349" s="0" t="str">
        <f aca="false">IF(AND($C1349="Treatment",$K1349=1),$L1349,"")</f>
        <v/>
      </c>
    </row>
    <row r="1350" customFormat="false" ht="15" hidden="false" customHeight="false" outlineLevel="0" collapsed="false">
      <c r="A1350" s="0" t="s">
        <v>1381</v>
      </c>
      <c r="B1350" s="2" t="n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0" t="n">
        <v>1</v>
      </c>
      <c r="I1350" s="0" t="n">
        <v>1</v>
      </c>
      <c r="J1350" s="0" t="n">
        <v>1</v>
      </c>
      <c r="K1350" s="0" t="n">
        <v>0</v>
      </c>
      <c r="L1350" s="0" t="n">
        <v>0</v>
      </c>
      <c r="M1350" s="0" t="n">
        <v>1</v>
      </c>
      <c r="N1350" s="0" t="n">
        <v>0</v>
      </c>
      <c r="P1350" s="0" t="n">
        <v>72.5</v>
      </c>
      <c r="Q1350" s="0" t="str">
        <f aca="false">IF($C1350="Control",$P1350,"")</f>
        <v/>
      </c>
      <c r="R1350" s="3" t="n">
        <f aca="false">IF($C1350="Treatment",$P1350,"")</f>
        <v>72.5</v>
      </c>
      <c r="S1350" s="0" t="str">
        <f aca="false">IF(AND($C1350="Control",$K1350=1),$L1350,"")</f>
        <v/>
      </c>
      <c r="T1350" s="0" t="str">
        <f aca="false">IF(AND($C1350="Treatment",$K1350=1),$L1350,"")</f>
        <v/>
      </c>
    </row>
    <row r="1351" customFormat="false" ht="15" hidden="false" customHeight="false" outlineLevel="0" collapsed="false">
      <c r="A1351" s="0" t="s">
        <v>1382</v>
      </c>
      <c r="B1351" s="2" t="n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0" t="n">
        <v>1</v>
      </c>
      <c r="I1351" s="0" t="n">
        <v>1</v>
      </c>
      <c r="J1351" s="0" t="n">
        <v>1</v>
      </c>
      <c r="K1351" s="0" t="n">
        <v>1</v>
      </c>
      <c r="L1351" s="0" t="n">
        <v>323.6</v>
      </c>
      <c r="M1351" s="0" t="n">
        <v>0</v>
      </c>
      <c r="N1351" s="0" t="n">
        <v>0</v>
      </c>
      <c r="O1351" s="0" t="n">
        <v>6</v>
      </c>
      <c r="P1351" s="0" t="n">
        <v>100</v>
      </c>
      <c r="Q1351" s="0" t="str">
        <f aca="false">IF($C1351="Control",$P1351,"")</f>
        <v/>
      </c>
      <c r="R1351" s="3" t="n">
        <f aca="false">IF($C1351="Treatment",$P1351,"")</f>
        <v>100</v>
      </c>
      <c r="S1351" s="0" t="str">
        <f aca="false">IF(AND($C1351="Control",$K1351=1),$L1351,"")</f>
        <v/>
      </c>
      <c r="T1351" s="3" t="n">
        <f aca="false">IF(AND($C1351="Treatment",$K1351=1),$L1351,"")</f>
        <v>323.6</v>
      </c>
    </row>
    <row r="1352" customFormat="false" ht="15" hidden="false" customHeight="false" outlineLevel="0" collapsed="false">
      <c r="A1352" s="0" t="s">
        <v>1383</v>
      </c>
      <c r="B1352" s="2" t="n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0</v>
      </c>
      <c r="P1352" s="0" t="n">
        <v>90.5</v>
      </c>
      <c r="Q1352" s="0" t="str">
        <f aca="false">IF($C1352="Control",$P1352,"")</f>
        <v/>
      </c>
      <c r="R1352" s="3" t="n">
        <f aca="false">IF($C1352="Treatment",$P1352,"")</f>
        <v>90.5</v>
      </c>
      <c r="S1352" s="0" t="str">
        <f aca="false">IF(AND($C1352="Control",$K1352=1),$L1352,"")</f>
        <v/>
      </c>
      <c r="T1352" s="0" t="str">
        <f aca="false">IF(AND($C1352="Treatment",$K1352=1),$L1352,"")</f>
        <v/>
      </c>
    </row>
    <row r="1353" customFormat="false" ht="15" hidden="false" customHeight="false" outlineLevel="0" collapsed="false">
      <c r="A1353" s="0" t="s">
        <v>1384</v>
      </c>
      <c r="B1353" s="2" t="n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0" t="n">
        <v>1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P1353" s="0" t="n">
        <v>70.2</v>
      </c>
      <c r="Q1353" s="0" t="str">
        <f aca="false">IF($C1353="Control",$P1353,"")</f>
        <v/>
      </c>
      <c r="R1353" s="3" t="n">
        <f aca="false">IF($C1353="Treatment",$P1353,"")</f>
        <v>70.2</v>
      </c>
      <c r="S1353" s="0" t="str">
        <f aca="false">IF(AND($C1353="Control",$K1353=1),$L1353,"")</f>
        <v/>
      </c>
      <c r="T1353" s="0" t="str">
        <f aca="false">IF(AND($C1353="Treatment",$K1353=1),$L1353,"")</f>
        <v/>
      </c>
    </row>
    <row r="1354" customFormat="false" ht="15" hidden="false" customHeight="false" outlineLevel="0" collapsed="false">
      <c r="A1354" s="0" t="s">
        <v>1385</v>
      </c>
      <c r="B1354" s="2" t="n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0" t="n">
        <v>1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P1354" s="0" t="n">
        <v>67.1</v>
      </c>
      <c r="Q1354" s="0" t="str">
        <f aca="false">IF($C1354="Control",$P1354,"")</f>
        <v/>
      </c>
      <c r="R1354" s="3" t="n">
        <f aca="false">IF($C1354="Treatment",$P1354,"")</f>
        <v>67.1</v>
      </c>
      <c r="S1354" s="0" t="str">
        <f aca="false">IF(AND($C1354="Control",$K1354=1),$L1354,"")</f>
        <v/>
      </c>
      <c r="T1354" s="0" t="str">
        <f aca="false">IF(AND($C1354="Treatment",$K1354=1),$L1354,"")</f>
        <v/>
      </c>
    </row>
    <row r="1355" customFormat="false" ht="15" hidden="false" customHeight="false" outlineLevel="0" collapsed="false">
      <c r="A1355" s="0" t="s">
        <v>1386</v>
      </c>
      <c r="B1355" s="2" t="n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P1355" s="0" t="n">
        <v>54.5</v>
      </c>
      <c r="Q1355" s="0" t="str">
        <f aca="false">IF($C1355="Control",$P1355,"")</f>
        <v/>
      </c>
      <c r="R1355" s="3" t="n">
        <f aca="false">IF($C1355="Treatment",$P1355,"")</f>
        <v>54.5</v>
      </c>
      <c r="S1355" s="0" t="str">
        <f aca="false">IF(AND($C1355="Control",$K1355=1),$L1355,"")</f>
        <v/>
      </c>
      <c r="T1355" s="0" t="str">
        <f aca="false">IF(AND($C1355="Treatment",$K1355=1),$L1355,"")</f>
        <v/>
      </c>
    </row>
    <row r="1356" customFormat="false" ht="15" hidden="false" customHeight="false" outlineLevel="0" collapsed="false">
      <c r="A1356" s="0" t="s">
        <v>1387</v>
      </c>
      <c r="B1356" s="2" t="n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0" t="n">
        <v>1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P1356" s="0" t="n">
        <v>63.4</v>
      </c>
      <c r="Q1356" s="0" t="str">
        <f aca="false">IF($C1356="Control",$P1356,"")</f>
        <v/>
      </c>
      <c r="R1356" s="3" t="n">
        <f aca="false">IF($C1356="Treatment",$P1356,"")</f>
        <v>63.4</v>
      </c>
      <c r="S1356" s="0" t="str">
        <f aca="false">IF(AND($C1356="Control",$K1356=1),$L1356,"")</f>
        <v/>
      </c>
      <c r="T1356" s="0" t="str">
        <f aca="false">IF(AND($C1356="Treatment",$K1356=1),$L1356,"")</f>
        <v/>
      </c>
    </row>
    <row r="1357" customFormat="false" ht="15" hidden="false" customHeight="false" outlineLevel="0" collapsed="false">
      <c r="A1357" s="0" t="s">
        <v>1388</v>
      </c>
      <c r="B1357" s="2" t="n">
        <v>45717</v>
      </c>
      <c r="C1357" s="3" t="s">
        <v>723</v>
      </c>
      <c r="D1357" s="3" t="s">
        <v>18</v>
      </c>
      <c r="E1357" s="3" t="s">
        <v>19</v>
      </c>
      <c r="F1357" s="3" t="s">
        <v>1470</v>
      </c>
      <c r="G1357" s="3" t="s">
        <v>26</v>
      </c>
      <c r="H1357" s="0" t="n">
        <v>1</v>
      </c>
      <c r="I1357" s="0" t="n">
        <v>1</v>
      </c>
      <c r="J1357" s="0" t="n">
        <v>1</v>
      </c>
      <c r="K1357" s="0" t="n">
        <v>0</v>
      </c>
      <c r="L1357" s="0" t="n">
        <v>0</v>
      </c>
      <c r="M1357" s="0" t="n">
        <v>0</v>
      </c>
      <c r="N1357" s="0" t="n">
        <v>0</v>
      </c>
      <c r="P1357" s="0" t="n">
        <v>84.3</v>
      </c>
      <c r="Q1357" s="0" t="str">
        <f aca="false">IF($C1357="Control",$P1357,"")</f>
        <v/>
      </c>
      <c r="R1357" s="3" t="n">
        <f aca="false">IF($C1357="Treatment",$P1357,"")</f>
        <v>84.3</v>
      </c>
      <c r="S1357" s="0" t="str">
        <f aca="false">IF(AND($C1357="Control",$K1357=1),$L1357,"")</f>
        <v/>
      </c>
      <c r="T1357" s="0" t="str">
        <f aca="false">IF(AND($C1357="Treatment",$K1357=1),$L1357,"")</f>
        <v/>
      </c>
    </row>
    <row r="1358" customFormat="false" ht="15" hidden="false" customHeight="false" outlineLevel="0" collapsed="false">
      <c r="A1358" s="0" t="s">
        <v>1389</v>
      </c>
      <c r="B1358" s="2" t="n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0" t="n">
        <v>1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0</v>
      </c>
      <c r="P1358" s="0" t="n">
        <v>55</v>
      </c>
      <c r="Q1358" s="0" t="str">
        <f aca="false">IF($C1358="Control",$P1358,"")</f>
        <v/>
      </c>
      <c r="R1358" s="3" t="n">
        <f aca="false">IF($C1358="Treatment",$P1358,"")</f>
        <v>55</v>
      </c>
      <c r="S1358" s="0" t="str">
        <f aca="false">IF(AND($C1358="Control",$K1358=1),$L1358,"")</f>
        <v/>
      </c>
      <c r="T1358" s="0" t="str">
        <f aca="false">IF(AND($C1358="Treatment",$K1358=1),$L1358,"")</f>
        <v/>
      </c>
    </row>
    <row r="1359" customFormat="false" ht="15" hidden="false" customHeight="false" outlineLevel="0" collapsed="false">
      <c r="A1359" s="0" t="s">
        <v>1390</v>
      </c>
      <c r="B1359" s="2" t="n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0" t="n">
        <v>1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P1359" s="0" t="n">
        <v>63.6</v>
      </c>
      <c r="Q1359" s="0" t="str">
        <f aca="false">IF($C1359="Control",$P1359,"")</f>
        <v/>
      </c>
      <c r="R1359" s="3" t="n">
        <f aca="false">IF($C1359="Treatment",$P1359,"")</f>
        <v>63.6</v>
      </c>
      <c r="S1359" s="0" t="str">
        <f aca="false">IF(AND($C1359="Control",$K1359=1),$L1359,"")</f>
        <v/>
      </c>
      <c r="T1359" s="0" t="str">
        <f aca="false">IF(AND($C1359="Treatment",$K1359=1),$L1359,"")</f>
        <v/>
      </c>
    </row>
    <row r="1360" customFormat="false" ht="15" hidden="false" customHeight="false" outlineLevel="0" collapsed="false">
      <c r="A1360" s="0" t="s">
        <v>1391</v>
      </c>
      <c r="B1360" s="2" t="n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0" t="n">
        <v>1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P1360" s="0" t="n">
        <v>55.5</v>
      </c>
      <c r="Q1360" s="0" t="str">
        <f aca="false">IF($C1360="Control",$P1360,"")</f>
        <v/>
      </c>
      <c r="R1360" s="3" t="n">
        <f aca="false">IF($C1360="Treatment",$P1360,"")</f>
        <v>55.5</v>
      </c>
      <c r="S1360" s="0" t="str">
        <f aca="false">IF(AND($C1360="Control",$K1360=1),$L1360,"")</f>
        <v/>
      </c>
      <c r="T1360" s="0" t="str">
        <f aca="false">IF(AND($C1360="Treatment",$K1360=1),$L1360,"")</f>
        <v/>
      </c>
    </row>
    <row r="1361" customFormat="false" ht="15" hidden="false" customHeight="false" outlineLevel="0" collapsed="false">
      <c r="A1361" s="0" t="s">
        <v>1392</v>
      </c>
      <c r="B1361" s="2" t="n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P1361" s="0" t="n">
        <v>50.5</v>
      </c>
      <c r="Q1361" s="0" t="str">
        <f aca="false">IF($C1361="Control",$P1361,"")</f>
        <v/>
      </c>
      <c r="R1361" s="3" t="n">
        <f aca="false">IF($C1361="Treatment",$P1361,"")</f>
        <v>50.5</v>
      </c>
      <c r="S1361" s="0" t="str">
        <f aca="false">IF(AND($C1361="Control",$K1361=1),$L1361,"")</f>
        <v/>
      </c>
      <c r="T1361" s="0" t="str">
        <f aca="false">IF(AND($C1361="Treatment",$K1361=1),$L1361,"")</f>
        <v/>
      </c>
    </row>
    <row r="1362" customFormat="false" ht="15" hidden="false" customHeight="false" outlineLevel="0" collapsed="false">
      <c r="A1362" s="0" t="s">
        <v>1393</v>
      </c>
      <c r="B1362" s="2" t="n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0" t="n">
        <v>1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P1362" s="0" t="n">
        <v>45.3</v>
      </c>
      <c r="Q1362" s="0" t="str">
        <f aca="false">IF($C1362="Control",$P1362,"")</f>
        <v/>
      </c>
      <c r="R1362" s="3" t="n">
        <f aca="false">IF($C1362="Treatment",$P1362,"")</f>
        <v>45.3</v>
      </c>
      <c r="S1362" s="0" t="str">
        <f aca="false">IF(AND($C1362="Control",$K1362=1),$L1362,"")</f>
        <v/>
      </c>
      <c r="T1362" s="0" t="str">
        <f aca="false">IF(AND($C1362="Treatment",$K1362=1),$L1362,"")</f>
        <v/>
      </c>
    </row>
    <row r="1363" customFormat="false" ht="15" hidden="false" customHeight="false" outlineLevel="0" collapsed="false">
      <c r="A1363" s="0" t="s">
        <v>1394</v>
      </c>
      <c r="B1363" s="2" t="n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0" t="n">
        <v>1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P1363" s="0" t="n">
        <v>33.6</v>
      </c>
      <c r="Q1363" s="0" t="str">
        <f aca="false">IF($C1363="Control",$P1363,"")</f>
        <v/>
      </c>
      <c r="R1363" s="3" t="n">
        <f aca="false">IF($C1363="Treatment",$P1363,"")</f>
        <v>33.6</v>
      </c>
      <c r="S1363" s="0" t="str">
        <f aca="false">IF(AND($C1363="Control",$K1363=1),$L1363,"")</f>
        <v/>
      </c>
      <c r="T1363" s="0" t="str">
        <f aca="false">IF(AND($C1363="Treatment",$K1363=1),$L1363,"")</f>
        <v/>
      </c>
    </row>
    <row r="1364" customFormat="false" ht="15" hidden="false" customHeight="false" outlineLevel="0" collapsed="false">
      <c r="A1364" s="0" t="s">
        <v>1395</v>
      </c>
      <c r="B1364" s="2" t="n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0" t="n">
        <v>1</v>
      </c>
      <c r="I1364" s="0" t="n">
        <v>1</v>
      </c>
      <c r="J1364" s="0" t="n">
        <v>1</v>
      </c>
      <c r="K1364" s="0" t="n">
        <v>0</v>
      </c>
      <c r="L1364" s="0" t="n">
        <v>0</v>
      </c>
      <c r="M1364" s="0" t="n">
        <v>0</v>
      </c>
      <c r="N1364" s="0" t="n">
        <v>0</v>
      </c>
      <c r="P1364" s="0" t="n">
        <v>88.2</v>
      </c>
      <c r="Q1364" s="0" t="str">
        <f aca="false">IF($C1364="Control",$P1364,"")</f>
        <v/>
      </c>
      <c r="R1364" s="3" t="n">
        <f aca="false">IF($C1364="Treatment",$P1364,"")</f>
        <v>88.2</v>
      </c>
      <c r="S1364" s="0" t="str">
        <f aca="false">IF(AND($C1364="Control",$K1364=1),$L1364,"")</f>
        <v/>
      </c>
      <c r="T1364" s="0" t="str">
        <f aca="false">IF(AND($C1364="Treatment",$K1364=1),$L1364,"")</f>
        <v/>
      </c>
    </row>
    <row r="1365" customFormat="false" ht="15" hidden="false" customHeight="false" outlineLevel="0" collapsed="false">
      <c r="A1365" s="0" t="s">
        <v>1396</v>
      </c>
      <c r="B1365" s="2" t="n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0" t="n">
        <v>1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P1365" s="0" t="n">
        <v>51.8</v>
      </c>
      <c r="Q1365" s="0" t="str">
        <f aca="false">IF($C1365="Control",$P1365,"")</f>
        <v/>
      </c>
      <c r="R1365" s="3" t="n">
        <f aca="false">IF($C1365="Treatment",$P1365,"")</f>
        <v>51.8</v>
      </c>
      <c r="S1365" s="0" t="str">
        <f aca="false">IF(AND($C1365="Control",$K1365=1),$L1365,"")</f>
        <v/>
      </c>
      <c r="T1365" s="0" t="str">
        <f aca="false">IF(AND($C1365="Treatment",$K1365=1),$L1365,"")</f>
        <v/>
      </c>
    </row>
    <row r="1366" customFormat="false" ht="15" hidden="false" customHeight="false" outlineLevel="0" collapsed="false">
      <c r="A1366" s="0" t="s">
        <v>1397</v>
      </c>
      <c r="B1366" s="2" t="n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P1366" s="0" t="n">
        <v>87.9</v>
      </c>
      <c r="Q1366" s="0" t="str">
        <f aca="false">IF($C1366="Control",$P1366,"")</f>
        <v/>
      </c>
      <c r="R1366" s="3" t="n">
        <f aca="false">IF($C1366="Treatment",$P1366,"")</f>
        <v>87.9</v>
      </c>
      <c r="S1366" s="0" t="str">
        <f aca="false">IF(AND($C1366="Control",$K1366=1),$L1366,"")</f>
        <v/>
      </c>
      <c r="T1366" s="0" t="str">
        <f aca="false">IF(AND($C1366="Treatment",$K1366=1),$L1366,"")</f>
        <v/>
      </c>
    </row>
    <row r="1367" customFormat="false" ht="15" hidden="false" customHeight="false" outlineLevel="0" collapsed="false">
      <c r="A1367" s="0" t="s">
        <v>1398</v>
      </c>
      <c r="B1367" s="2" t="n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0" t="n">
        <v>1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2</v>
      </c>
      <c r="N1367" s="0" t="n">
        <v>0</v>
      </c>
      <c r="P1367" s="0" t="n">
        <v>70.5</v>
      </c>
      <c r="Q1367" s="0" t="str">
        <f aca="false">IF($C1367="Control",$P1367,"")</f>
        <v/>
      </c>
      <c r="R1367" s="3" t="n">
        <f aca="false">IF($C1367="Treatment",$P1367,"")</f>
        <v>70.5</v>
      </c>
      <c r="S1367" s="0" t="str">
        <f aca="false">IF(AND($C1367="Control",$K1367=1),$L1367,"")</f>
        <v/>
      </c>
      <c r="T1367" s="0" t="str">
        <f aca="false">IF(AND($C1367="Treatment",$K1367=1),$L1367,"")</f>
        <v/>
      </c>
    </row>
    <row r="1368" customFormat="false" ht="15" hidden="false" customHeight="false" outlineLevel="0" collapsed="false">
      <c r="A1368" s="0" t="s">
        <v>1399</v>
      </c>
      <c r="B1368" s="2" t="n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0" t="n">
        <v>1</v>
      </c>
      <c r="I1368" s="0" t="n">
        <v>1</v>
      </c>
      <c r="J1368" s="0" t="n">
        <v>0</v>
      </c>
      <c r="K1368" s="0" t="n">
        <v>0</v>
      </c>
      <c r="L1368" s="0" t="n">
        <v>0</v>
      </c>
      <c r="M1368" s="0" t="n">
        <v>2</v>
      </c>
      <c r="N1368" s="0" t="n">
        <v>0</v>
      </c>
      <c r="P1368" s="0" t="n">
        <v>58.5</v>
      </c>
      <c r="Q1368" s="0" t="str">
        <f aca="false">IF($C1368="Control",$P1368,"")</f>
        <v/>
      </c>
      <c r="R1368" s="3" t="n">
        <f aca="false">IF($C1368="Treatment",$P1368,"")</f>
        <v>58.5</v>
      </c>
      <c r="S1368" s="0" t="str">
        <f aca="false">IF(AND($C1368="Control",$K1368=1),$L1368,"")</f>
        <v/>
      </c>
      <c r="T1368" s="0" t="str">
        <f aca="false">IF(AND($C1368="Treatment",$K1368=1),$L1368,"")</f>
        <v/>
      </c>
    </row>
    <row r="1369" customFormat="false" ht="15" hidden="false" customHeight="false" outlineLevel="0" collapsed="false">
      <c r="A1369" s="0" t="s">
        <v>1400</v>
      </c>
      <c r="B1369" s="2" t="n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0" t="n">
        <v>1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P1369" s="0" t="n">
        <v>65.6</v>
      </c>
      <c r="Q1369" s="0" t="str">
        <f aca="false">IF($C1369="Control",$P1369,"")</f>
        <v/>
      </c>
      <c r="R1369" s="3" t="n">
        <f aca="false">IF($C1369="Treatment",$P1369,"")</f>
        <v>65.6</v>
      </c>
      <c r="S1369" s="0" t="str">
        <f aca="false">IF(AND($C1369="Control",$K1369=1),$L1369,"")</f>
        <v/>
      </c>
      <c r="T1369" s="0" t="str">
        <f aca="false">IF(AND($C1369="Treatment",$K1369=1),$L1369,"")</f>
        <v/>
      </c>
    </row>
    <row r="1370" customFormat="false" ht="15" hidden="false" customHeight="false" outlineLevel="0" collapsed="false">
      <c r="A1370" s="0" t="s">
        <v>1401</v>
      </c>
      <c r="B1370" s="2" t="n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0" t="n">
        <v>1</v>
      </c>
      <c r="I1370" s="0" t="n">
        <v>1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P1370" s="0" t="n">
        <v>62.7</v>
      </c>
      <c r="Q1370" s="0" t="str">
        <f aca="false">IF($C1370="Control",$P1370,"")</f>
        <v/>
      </c>
      <c r="R1370" s="3" t="n">
        <f aca="false">IF($C1370="Treatment",$P1370,"")</f>
        <v>62.7</v>
      </c>
      <c r="S1370" s="0" t="str">
        <f aca="false">IF(AND($C1370="Control",$K1370=1),$L1370,"")</f>
        <v/>
      </c>
      <c r="T1370" s="0" t="str">
        <f aca="false">IF(AND($C1370="Treatment",$K1370=1),$L1370,"")</f>
        <v/>
      </c>
    </row>
    <row r="1371" customFormat="false" ht="15" hidden="false" customHeight="false" outlineLevel="0" collapsed="false">
      <c r="A1371" s="0" t="s">
        <v>1402</v>
      </c>
      <c r="B1371" s="2" t="n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0</v>
      </c>
      <c r="P1371" s="0" t="n">
        <v>50.9</v>
      </c>
      <c r="Q1371" s="0" t="str">
        <f aca="false">IF($C1371="Control",$P1371,"")</f>
        <v/>
      </c>
      <c r="R1371" s="3" t="n">
        <f aca="false">IF($C1371="Treatment",$P1371,"")</f>
        <v>50.9</v>
      </c>
      <c r="S1371" s="0" t="str">
        <f aca="false">IF(AND($C1371="Control",$K1371=1),$L1371,"")</f>
        <v/>
      </c>
      <c r="T1371" s="0" t="str">
        <f aca="false">IF(AND($C1371="Treatment",$K1371=1),$L1371,"")</f>
        <v/>
      </c>
    </row>
    <row r="1372" customFormat="false" ht="15" hidden="false" customHeight="false" outlineLevel="0" collapsed="false">
      <c r="A1372" s="0" t="s">
        <v>1403</v>
      </c>
      <c r="B1372" s="2" t="n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0</v>
      </c>
      <c r="P1372" s="0" t="n">
        <v>60.6</v>
      </c>
      <c r="Q1372" s="0" t="str">
        <f aca="false">IF($C1372="Control",$P1372,"")</f>
        <v/>
      </c>
      <c r="R1372" s="3" t="n">
        <f aca="false">IF($C1372="Treatment",$P1372,"")</f>
        <v>60.6</v>
      </c>
      <c r="S1372" s="0" t="str">
        <f aca="false">IF(AND($C1372="Control",$K1372=1),$L1372,"")</f>
        <v/>
      </c>
      <c r="T1372" s="0" t="str">
        <f aca="false">IF(AND($C1372="Treatment",$K1372=1),$L1372,"")</f>
        <v/>
      </c>
    </row>
    <row r="1373" customFormat="false" ht="15" hidden="false" customHeight="false" outlineLevel="0" collapsed="false">
      <c r="A1373" s="0" t="s">
        <v>1404</v>
      </c>
      <c r="B1373" s="2" t="n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0" t="n">
        <v>1</v>
      </c>
      <c r="I1373" s="0" t="n">
        <v>1</v>
      </c>
      <c r="J1373" s="0" t="n">
        <v>1</v>
      </c>
      <c r="K1373" s="0" t="n">
        <v>0</v>
      </c>
      <c r="L1373" s="0" t="n">
        <v>0</v>
      </c>
      <c r="M1373" s="0" t="n">
        <v>0</v>
      </c>
      <c r="N1373" s="0" t="n">
        <v>0</v>
      </c>
      <c r="P1373" s="0" t="n">
        <v>76.6</v>
      </c>
      <c r="Q1373" s="0" t="str">
        <f aca="false">IF($C1373="Control",$P1373,"")</f>
        <v/>
      </c>
      <c r="R1373" s="3" t="n">
        <f aca="false">IF($C1373="Treatment",$P1373,"")</f>
        <v>76.6</v>
      </c>
      <c r="S1373" s="0" t="str">
        <f aca="false">IF(AND($C1373="Control",$K1373=1),$L1373,"")</f>
        <v/>
      </c>
      <c r="T1373" s="0" t="str">
        <f aca="false">IF(AND($C1373="Treatment",$K1373=1),$L1373,"")</f>
        <v/>
      </c>
    </row>
    <row r="1374" customFormat="false" ht="15" hidden="false" customHeight="false" outlineLevel="0" collapsed="false">
      <c r="A1374" s="0" t="s">
        <v>1405</v>
      </c>
      <c r="B1374" s="2" t="n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0" t="n">
        <v>1</v>
      </c>
      <c r="I1374" s="0" t="n">
        <v>1</v>
      </c>
      <c r="J1374" s="0" t="n">
        <v>1</v>
      </c>
      <c r="K1374" s="0" t="n">
        <v>0</v>
      </c>
      <c r="L1374" s="0" t="n">
        <v>0</v>
      </c>
      <c r="M1374" s="0" t="n">
        <v>0</v>
      </c>
      <c r="N1374" s="0" t="n">
        <v>0</v>
      </c>
      <c r="P1374" s="0" t="n">
        <v>54.4</v>
      </c>
      <c r="Q1374" s="0" t="str">
        <f aca="false">IF($C1374="Control",$P1374,"")</f>
        <v/>
      </c>
      <c r="R1374" s="3" t="n">
        <f aca="false">IF($C1374="Treatment",$P1374,"")</f>
        <v>54.4</v>
      </c>
      <c r="S1374" s="0" t="str">
        <f aca="false">IF(AND($C1374="Control",$K1374=1),$L1374,"")</f>
        <v/>
      </c>
      <c r="T1374" s="0" t="str">
        <f aca="false">IF(AND($C1374="Treatment",$K1374=1),$L1374,"")</f>
        <v/>
      </c>
    </row>
    <row r="1375" customFormat="false" ht="15" hidden="false" customHeight="false" outlineLevel="0" collapsed="false">
      <c r="A1375" s="0" t="s">
        <v>1406</v>
      </c>
      <c r="B1375" s="2" t="n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0" t="n">
        <v>1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P1375" s="0" t="n">
        <v>31.2</v>
      </c>
      <c r="Q1375" s="0" t="str">
        <f aca="false">IF($C1375="Control",$P1375,"")</f>
        <v/>
      </c>
      <c r="R1375" s="3" t="n">
        <f aca="false">IF($C1375="Treatment",$P1375,"")</f>
        <v>31.2</v>
      </c>
      <c r="S1375" s="0" t="str">
        <f aca="false">IF(AND($C1375="Control",$K1375=1),$L1375,"")</f>
        <v/>
      </c>
      <c r="T1375" s="0" t="str">
        <f aca="false">IF(AND($C1375="Treatment",$K1375=1),$L1375,"")</f>
        <v/>
      </c>
    </row>
    <row r="1376" customFormat="false" ht="15" hidden="false" customHeight="false" outlineLevel="0" collapsed="false">
      <c r="A1376" s="0" t="s">
        <v>1407</v>
      </c>
      <c r="B1376" s="2" t="n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0" t="n">
        <v>1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P1376" s="0" t="n">
        <v>72.4</v>
      </c>
      <c r="Q1376" s="0" t="str">
        <f aca="false">IF($C1376="Control",$P1376,"")</f>
        <v/>
      </c>
      <c r="R1376" s="3" t="n">
        <f aca="false">IF($C1376="Treatment",$P1376,"")</f>
        <v>72.4</v>
      </c>
      <c r="S1376" s="0" t="str">
        <f aca="false">IF(AND($C1376="Control",$K1376=1),$L1376,"")</f>
        <v/>
      </c>
      <c r="T1376" s="0" t="str">
        <f aca="false">IF(AND($C1376="Treatment",$K1376=1),$L1376,"")</f>
        <v/>
      </c>
    </row>
    <row r="1377" customFormat="false" ht="15" hidden="false" customHeight="false" outlineLevel="0" collapsed="false">
      <c r="A1377" s="0" t="s">
        <v>1408</v>
      </c>
      <c r="B1377" s="2" t="n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0" t="n">
        <v>1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P1377" s="0" t="n">
        <v>74.5</v>
      </c>
      <c r="Q1377" s="0" t="str">
        <f aca="false">IF($C1377="Control",$P1377,"")</f>
        <v/>
      </c>
      <c r="R1377" s="3" t="n">
        <f aca="false">IF($C1377="Treatment",$P1377,"")</f>
        <v>74.5</v>
      </c>
      <c r="S1377" s="0" t="str">
        <f aca="false">IF(AND($C1377="Control",$K1377=1),$L1377,"")</f>
        <v/>
      </c>
      <c r="T1377" s="0" t="str">
        <f aca="false">IF(AND($C1377="Treatment",$K1377=1),$L1377,"")</f>
        <v/>
      </c>
    </row>
    <row r="1378" customFormat="false" ht="15" hidden="false" customHeight="false" outlineLevel="0" collapsed="false">
      <c r="A1378" s="0" t="s">
        <v>1409</v>
      </c>
      <c r="B1378" s="2" t="n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P1378" s="0" t="n">
        <v>52.6</v>
      </c>
      <c r="Q1378" s="0" t="str">
        <f aca="false">IF($C1378="Control",$P1378,"")</f>
        <v/>
      </c>
      <c r="R1378" s="3" t="n">
        <f aca="false">IF($C1378="Treatment",$P1378,"")</f>
        <v>52.6</v>
      </c>
      <c r="S1378" s="0" t="str">
        <f aca="false">IF(AND($C1378="Control",$K1378=1),$L1378,"")</f>
        <v/>
      </c>
      <c r="T1378" s="0" t="str">
        <f aca="false">IF(AND($C1378="Treatment",$K1378=1),$L1378,"")</f>
        <v/>
      </c>
    </row>
    <row r="1379" customFormat="false" ht="15" hidden="false" customHeight="false" outlineLevel="0" collapsed="false">
      <c r="A1379" s="0" t="s">
        <v>1410</v>
      </c>
      <c r="B1379" s="2" t="n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0" t="n">
        <v>1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P1379" s="0" t="n">
        <v>75.4</v>
      </c>
      <c r="Q1379" s="0" t="str">
        <f aca="false">IF($C1379="Control",$P1379,"")</f>
        <v/>
      </c>
      <c r="R1379" s="3" t="n">
        <f aca="false">IF($C1379="Treatment",$P1379,"")</f>
        <v>75.4</v>
      </c>
      <c r="S1379" s="0" t="str">
        <f aca="false">IF(AND($C1379="Control",$K1379=1),$L1379,"")</f>
        <v/>
      </c>
      <c r="T1379" s="0" t="str">
        <f aca="false">IF(AND($C1379="Treatment",$K1379=1),$L1379,"")</f>
        <v/>
      </c>
    </row>
    <row r="1380" customFormat="false" ht="15" hidden="false" customHeight="false" outlineLevel="0" collapsed="false">
      <c r="A1380" s="0" t="s">
        <v>1411</v>
      </c>
      <c r="B1380" s="2" t="n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0" t="n">
        <v>1</v>
      </c>
      <c r="I1380" s="0" t="n">
        <v>1</v>
      </c>
      <c r="J1380" s="0" t="n">
        <v>1</v>
      </c>
      <c r="K1380" s="0" t="n">
        <v>1</v>
      </c>
      <c r="L1380" s="0" t="n">
        <v>751.33</v>
      </c>
      <c r="M1380" s="0" t="n">
        <v>0</v>
      </c>
      <c r="N1380" s="0" t="n">
        <v>0</v>
      </c>
      <c r="O1380" s="0" t="n">
        <v>9</v>
      </c>
      <c r="P1380" s="0" t="n">
        <v>34</v>
      </c>
      <c r="Q1380" s="0" t="str">
        <f aca="false">IF($C1380="Control",$P1380,"")</f>
        <v/>
      </c>
      <c r="R1380" s="3" t="n">
        <f aca="false">IF($C1380="Treatment",$P1380,"")</f>
        <v>34</v>
      </c>
      <c r="S1380" s="0" t="str">
        <f aca="false">IF(AND($C1380="Control",$K1380=1),$L1380,"")</f>
        <v/>
      </c>
      <c r="T1380" s="3" t="n">
        <f aca="false">IF(AND($C1380="Treatment",$K1380=1),$L1380,"")</f>
        <v>751.33</v>
      </c>
    </row>
    <row r="1381" customFormat="false" ht="15" hidden="false" customHeight="false" outlineLevel="0" collapsed="false">
      <c r="A1381" s="0" t="s">
        <v>1412</v>
      </c>
      <c r="B1381" s="2" t="n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0" t="n">
        <v>1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P1381" s="0" t="n">
        <v>67.1</v>
      </c>
      <c r="Q1381" s="0" t="str">
        <f aca="false">IF($C1381="Control",$P1381,"")</f>
        <v/>
      </c>
      <c r="R1381" s="3" t="n">
        <f aca="false">IF($C1381="Treatment",$P1381,"")</f>
        <v>67.1</v>
      </c>
      <c r="S1381" s="0" t="str">
        <f aca="false">IF(AND($C1381="Control",$K1381=1),$L1381,"")</f>
        <v/>
      </c>
      <c r="T1381" s="0" t="str">
        <f aca="false">IF(AND($C1381="Treatment",$K1381=1),$L1381,"")</f>
        <v/>
      </c>
    </row>
    <row r="1382" customFormat="false" ht="15" hidden="false" customHeight="false" outlineLevel="0" collapsed="false">
      <c r="A1382" s="0" t="s">
        <v>1413</v>
      </c>
      <c r="B1382" s="2" t="n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0" t="n">
        <v>1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P1382" s="0" t="n">
        <v>37.3</v>
      </c>
      <c r="Q1382" s="0" t="str">
        <f aca="false">IF($C1382="Control",$P1382,"")</f>
        <v/>
      </c>
      <c r="R1382" s="3" t="n">
        <f aca="false">IF($C1382="Treatment",$P1382,"")</f>
        <v>37.3</v>
      </c>
      <c r="S1382" s="0" t="str">
        <f aca="false">IF(AND($C1382="Control",$K1382=1),$L1382,"")</f>
        <v/>
      </c>
      <c r="T1382" s="0" t="str">
        <f aca="false">IF(AND($C1382="Treatment",$K1382=1),$L1382,"")</f>
        <v/>
      </c>
    </row>
    <row r="1383" customFormat="false" ht="15" hidden="false" customHeight="false" outlineLevel="0" collapsed="false">
      <c r="A1383" s="0" t="s">
        <v>1414</v>
      </c>
      <c r="B1383" s="2" t="n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0" t="n">
        <v>1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P1383" s="0" t="n">
        <v>54.7</v>
      </c>
      <c r="Q1383" s="0" t="str">
        <f aca="false">IF($C1383="Control",$P1383,"")</f>
        <v/>
      </c>
      <c r="R1383" s="3" t="n">
        <f aca="false">IF($C1383="Treatment",$P1383,"")</f>
        <v>54.7</v>
      </c>
      <c r="S1383" s="0" t="str">
        <f aca="false">IF(AND($C1383="Control",$K1383=1),$L1383,"")</f>
        <v/>
      </c>
      <c r="T1383" s="0" t="str">
        <f aca="false">IF(AND($C1383="Treatment",$K1383=1),$L1383,"")</f>
        <v/>
      </c>
    </row>
    <row r="1384" customFormat="false" ht="15" hidden="false" customHeight="false" outlineLevel="0" collapsed="false">
      <c r="A1384" s="0" t="s">
        <v>1415</v>
      </c>
      <c r="B1384" s="2" t="n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0" t="n">
        <v>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P1384" s="0" t="n">
        <v>51.8</v>
      </c>
      <c r="Q1384" s="0" t="str">
        <f aca="false">IF($C1384="Control",$P1384,"")</f>
        <v/>
      </c>
      <c r="R1384" s="3" t="n">
        <f aca="false">IF($C1384="Treatment",$P1384,"")</f>
        <v>51.8</v>
      </c>
      <c r="S1384" s="0" t="str">
        <f aca="false">IF(AND($C1384="Control",$K1384=1),$L1384,"")</f>
        <v/>
      </c>
      <c r="T1384" s="0" t="str">
        <f aca="false">IF(AND($C1384="Treatment",$K1384=1),$L1384,"")</f>
        <v/>
      </c>
    </row>
    <row r="1385" customFormat="false" ht="15" hidden="false" customHeight="false" outlineLevel="0" collapsed="false">
      <c r="A1385" s="0" t="s">
        <v>1416</v>
      </c>
      <c r="B1385" s="2" t="n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P1385" s="0" t="n">
        <v>49.2</v>
      </c>
      <c r="Q1385" s="0" t="str">
        <f aca="false">IF($C1385="Control",$P1385,"")</f>
        <v/>
      </c>
      <c r="R1385" s="3" t="n">
        <f aca="false">IF($C1385="Treatment",$P1385,"")</f>
        <v>49.2</v>
      </c>
      <c r="S1385" s="0" t="str">
        <f aca="false">IF(AND($C1385="Control",$K1385=1),$L1385,"")</f>
        <v/>
      </c>
      <c r="T1385" s="0" t="str">
        <f aca="false">IF(AND($C1385="Treatment",$K1385=1),$L1385,"")</f>
        <v/>
      </c>
    </row>
    <row r="1386" customFormat="false" ht="15" hidden="false" customHeight="false" outlineLevel="0" collapsed="false">
      <c r="A1386" s="0" t="s">
        <v>1417</v>
      </c>
      <c r="B1386" s="2" t="n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0" t="n">
        <v>1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</v>
      </c>
      <c r="N1386" s="0" t="n">
        <v>0</v>
      </c>
      <c r="P1386" s="0" t="n">
        <v>58.8</v>
      </c>
      <c r="Q1386" s="0" t="str">
        <f aca="false">IF($C1386="Control",$P1386,"")</f>
        <v/>
      </c>
      <c r="R1386" s="3" t="n">
        <f aca="false">IF($C1386="Treatment",$P1386,"")</f>
        <v>58.8</v>
      </c>
      <c r="S1386" s="0" t="str">
        <f aca="false">IF(AND($C1386="Control",$K1386=1),$L1386,"")</f>
        <v/>
      </c>
      <c r="T1386" s="0" t="str">
        <f aca="false">IF(AND($C1386="Treatment",$K1386=1),$L1386,"")</f>
        <v/>
      </c>
    </row>
    <row r="1387" customFormat="false" ht="15" hidden="false" customHeight="false" outlineLevel="0" collapsed="false">
      <c r="A1387" s="0" t="s">
        <v>1418</v>
      </c>
      <c r="B1387" s="2" t="n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0</v>
      </c>
      <c r="P1387" s="0" t="n">
        <v>59.1</v>
      </c>
      <c r="Q1387" s="0" t="str">
        <f aca="false">IF($C1387="Control",$P1387,"")</f>
        <v/>
      </c>
      <c r="R1387" s="3" t="n">
        <f aca="false">IF($C1387="Treatment",$P1387,"")</f>
        <v>59.1</v>
      </c>
      <c r="S1387" s="0" t="str">
        <f aca="false">IF(AND($C1387="Control",$K1387=1),$L1387,"")</f>
        <v/>
      </c>
      <c r="T1387" s="0" t="str">
        <f aca="false">IF(AND($C1387="Treatment",$K1387=1),$L1387,"")</f>
        <v/>
      </c>
    </row>
    <row r="1388" customFormat="false" ht="15" hidden="false" customHeight="false" outlineLevel="0" collapsed="false">
      <c r="A1388" s="0" t="s">
        <v>1419</v>
      </c>
      <c r="B1388" s="2" t="n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0" t="n">
        <v>1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2</v>
      </c>
      <c r="N1388" s="0" t="n">
        <v>0</v>
      </c>
      <c r="P1388" s="0" t="n">
        <v>49.6</v>
      </c>
      <c r="Q1388" s="0" t="str">
        <f aca="false">IF($C1388="Control",$P1388,"")</f>
        <v/>
      </c>
      <c r="R1388" s="3" t="n">
        <f aca="false">IF($C1388="Treatment",$P1388,"")</f>
        <v>49.6</v>
      </c>
      <c r="S1388" s="0" t="str">
        <f aca="false">IF(AND($C1388="Control",$K1388=1),$L1388,"")</f>
        <v/>
      </c>
      <c r="T1388" s="0" t="str">
        <f aca="false">IF(AND($C1388="Treatment",$K1388=1),$L1388,"")</f>
        <v/>
      </c>
    </row>
    <row r="1389" customFormat="false" ht="15" hidden="false" customHeight="false" outlineLevel="0" collapsed="false">
      <c r="A1389" s="0" t="s">
        <v>1420</v>
      </c>
      <c r="B1389" s="2" t="n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P1389" s="0" t="n">
        <v>58.2</v>
      </c>
      <c r="Q1389" s="0" t="str">
        <f aca="false">IF($C1389="Control",$P1389,"")</f>
        <v/>
      </c>
      <c r="R1389" s="3" t="n">
        <f aca="false">IF($C1389="Treatment",$P1389,"")</f>
        <v>58.2</v>
      </c>
      <c r="S1389" s="0" t="str">
        <f aca="false">IF(AND($C1389="Control",$K1389=1),$L1389,"")</f>
        <v/>
      </c>
      <c r="T1389" s="0" t="str">
        <f aca="false">IF(AND($C1389="Treatment",$K1389=1),$L1389,"")</f>
        <v/>
      </c>
    </row>
    <row r="1390" customFormat="false" ht="15" hidden="false" customHeight="false" outlineLevel="0" collapsed="false">
      <c r="A1390" s="0" t="s">
        <v>1421</v>
      </c>
      <c r="B1390" s="2" t="n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0" t="n">
        <v>1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P1390" s="0" t="n">
        <v>66.8</v>
      </c>
      <c r="Q1390" s="0" t="str">
        <f aca="false">IF($C1390="Control",$P1390,"")</f>
        <v/>
      </c>
      <c r="R1390" s="3" t="n">
        <f aca="false">IF($C1390="Treatment",$P1390,"")</f>
        <v>66.8</v>
      </c>
      <c r="S1390" s="0" t="str">
        <f aca="false">IF(AND($C1390="Control",$K1390=1),$L1390,"")</f>
        <v/>
      </c>
      <c r="T1390" s="0" t="str">
        <f aca="false">IF(AND($C1390="Treatment",$K1390=1),$L1390,"")</f>
        <v/>
      </c>
    </row>
    <row r="1391" customFormat="false" ht="15" hidden="false" customHeight="false" outlineLevel="0" collapsed="false">
      <c r="A1391" s="0" t="s">
        <v>1422</v>
      </c>
      <c r="B1391" s="2" t="n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0" t="n">
        <v>1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3</v>
      </c>
      <c r="N1391" s="0" t="n">
        <v>0</v>
      </c>
      <c r="P1391" s="0" t="n">
        <v>58.3</v>
      </c>
      <c r="Q1391" s="0" t="str">
        <f aca="false">IF($C1391="Control",$P1391,"")</f>
        <v/>
      </c>
      <c r="R1391" s="3" t="n">
        <f aca="false">IF($C1391="Treatment",$P1391,"")</f>
        <v>58.3</v>
      </c>
      <c r="S1391" s="0" t="str">
        <f aca="false">IF(AND($C1391="Control",$K1391=1),$L1391,"")</f>
        <v/>
      </c>
      <c r="T1391" s="0" t="str">
        <f aca="false">IF(AND($C1391="Treatment",$K1391=1),$L1391,"")</f>
        <v/>
      </c>
    </row>
    <row r="1392" customFormat="false" ht="15" hidden="false" customHeight="false" outlineLevel="0" collapsed="false">
      <c r="A1392" s="0" t="s">
        <v>1423</v>
      </c>
      <c r="B1392" s="2" t="n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0" t="n">
        <v>1</v>
      </c>
      <c r="I1392" s="0" t="n">
        <v>1</v>
      </c>
      <c r="J1392" s="0" t="n">
        <v>1</v>
      </c>
      <c r="K1392" s="0" t="n">
        <v>0</v>
      </c>
      <c r="L1392" s="0" t="n">
        <v>0</v>
      </c>
      <c r="M1392" s="0" t="n">
        <v>0</v>
      </c>
      <c r="N1392" s="0" t="n">
        <v>0</v>
      </c>
      <c r="P1392" s="0" t="n">
        <v>38.5</v>
      </c>
      <c r="Q1392" s="0" t="str">
        <f aca="false">IF($C1392="Control",$P1392,"")</f>
        <v/>
      </c>
      <c r="R1392" s="3" t="n">
        <f aca="false">IF($C1392="Treatment",$P1392,"")</f>
        <v>38.5</v>
      </c>
      <c r="S1392" s="0" t="str">
        <f aca="false">IF(AND($C1392="Control",$K1392=1),$L1392,"")</f>
        <v/>
      </c>
      <c r="T1392" s="0" t="str">
        <f aca="false">IF(AND($C1392="Treatment",$K1392=1),$L1392,"")</f>
        <v/>
      </c>
    </row>
    <row r="1393" customFormat="false" ht="15" hidden="false" customHeight="false" outlineLevel="0" collapsed="false">
      <c r="A1393" s="0" t="s">
        <v>1424</v>
      </c>
      <c r="B1393" s="2" t="n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0" t="n">
        <v>1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P1393" s="0" t="n">
        <v>76.9</v>
      </c>
      <c r="Q1393" s="0" t="str">
        <f aca="false">IF($C1393="Control",$P1393,"")</f>
        <v/>
      </c>
      <c r="R1393" s="3" t="n">
        <f aca="false">IF($C1393="Treatment",$P1393,"")</f>
        <v>76.9</v>
      </c>
      <c r="S1393" s="0" t="str">
        <f aca="false">IF(AND($C1393="Control",$K1393=1),$L1393,"")</f>
        <v/>
      </c>
      <c r="T1393" s="0" t="str">
        <f aca="false">IF(AND($C1393="Treatment",$K1393=1),$L1393,"")</f>
        <v/>
      </c>
    </row>
    <row r="1394" customFormat="false" ht="15" hidden="false" customHeight="false" outlineLevel="0" collapsed="false">
      <c r="A1394" s="0" t="s">
        <v>1425</v>
      </c>
      <c r="B1394" s="2" t="n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0" t="n">
        <v>1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P1394" s="0" t="n">
        <v>54</v>
      </c>
      <c r="Q1394" s="0" t="str">
        <f aca="false">IF($C1394="Control",$P1394,"")</f>
        <v/>
      </c>
      <c r="R1394" s="3" t="n">
        <f aca="false">IF($C1394="Treatment",$P1394,"")</f>
        <v>54</v>
      </c>
      <c r="S1394" s="0" t="str">
        <f aca="false">IF(AND($C1394="Control",$K1394=1),$L1394,"")</f>
        <v/>
      </c>
      <c r="T1394" s="0" t="str">
        <f aca="false">IF(AND($C1394="Treatment",$K1394=1),$L1394,"")</f>
        <v/>
      </c>
    </row>
    <row r="1395" customFormat="false" ht="15" hidden="false" customHeight="false" outlineLevel="0" collapsed="false">
      <c r="A1395" s="0" t="s">
        <v>1426</v>
      </c>
      <c r="B1395" s="2" t="n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0" t="n">
        <v>1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P1395" s="0" t="n">
        <v>70.6</v>
      </c>
      <c r="Q1395" s="0" t="str">
        <f aca="false">IF($C1395="Control",$P1395,"")</f>
        <v/>
      </c>
      <c r="R1395" s="3" t="n">
        <f aca="false">IF($C1395="Treatment",$P1395,"")</f>
        <v>70.6</v>
      </c>
      <c r="S1395" s="0" t="str">
        <f aca="false">IF(AND($C1395="Control",$K1395=1),$L1395,"")</f>
        <v/>
      </c>
      <c r="T1395" s="0" t="str">
        <f aca="false">IF(AND($C1395="Treatment",$K1395=1),$L1395,"")</f>
        <v/>
      </c>
    </row>
    <row r="1396" customFormat="false" ht="15" hidden="false" customHeight="false" outlineLevel="0" collapsed="false">
      <c r="A1396" s="0" t="s">
        <v>1427</v>
      </c>
      <c r="B1396" s="2" t="n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0" t="n">
        <v>1</v>
      </c>
      <c r="I1396" s="0" t="n">
        <v>1</v>
      </c>
      <c r="J1396" s="0" t="n">
        <v>1</v>
      </c>
      <c r="K1396" s="0" t="n">
        <v>0</v>
      </c>
      <c r="L1396" s="0" t="n">
        <v>0</v>
      </c>
      <c r="M1396" s="0" t="n">
        <v>1</v>
      </c>
      <c r="N1396" s="0" t="n">
        <v>0</v>
      </c>
      <c r="P1396" s="0" t="n">
        <v>69.4</v>
      </c>
      <c r="Q1396" s="0" t="str">
        <f aca="false">IF($C1396="Control",$P1396,"")</f>
        <v/>
      </c>
      <c r="R1396" s="3" t="n">
        <f aca="false">IF($C1396="Treatment",$P1396,"")</f>
        <v>69.4</v>
      </c>
      <c r="S1396" s="0" t="str">
        <f aca="false">IF(AND($C1396="Control",$K1396=1),$L1396,"")</f>
        <v/>
      </c>
      <c r="T1396" s="0" t="str">
        <f aca="false">IF(AND($C1396="Treatment",$K1396=1),$L1396,"")</f>
        <v/>
      </c>
    </row>
    <row r="1397" customFormat="false" ht="15" hidden="false" customHeight="false" outlineLevel="0" collapsed="false">
      <c r="A1397" s="0" t="s">
        <v>1428</v>
      </c>
      <c r="B1397" s="2" t="n">
        <v>45699</v>
      </c>
      <c r="C1397" s="3" t="s">
        <v>723</v>
      </c>
      <c r="D1397" s="3" t="s">
        <v>32</v>
      </c>
      <c r="E1397" s="3" t="s">
        <v>24</v>
      </c>
      <c r="F1397" s="3" t="s">
        <v>1470</v>
      </c>
      <c r="G1397" s="3" t="s">
        <v>30</v>
      </c>
      <c r="H1397" s="0" t="n">
        <v>1</v>
      </c>
      <c r="I1397" s="0" t="n">
        <v>1</v>
      </c>
      <c r="J1397" s="0" t="n">
        <v>1</v>
      </c>
      <c r="K1397" s="0" t="n">
        <v>1</v>
      </c>
      <c r="L1397" s="0" t="n">
        <v>1009.9</v>
      </c>
      <c r="M1397" s="0" t="n">
        <v>0</v>
      </c>
      <c r="N1397" s="0" t="n">
        <v>0</v>
      </c>
      <c r="O1397" s="0" t="n">
        <v>6</v>
      </c>
      <c r="P1397" s="0" t="n">
        <v>89.7</v>
      </c>
      <c r="Q1397" s="0" t="str">
        <f aca="false">IF($C1397="Control",$P1397,"")</f>
        <v/>
      </c>
      <c r="R1397" s="3" t="n">
        <f aca="false">IF($C1397="Treatment",$P1397,"")</f>
        <v>89.7</v>
      </c>
      <c r="S1397" s="0" t="str">
        <f aca="false">IF(AND($C1397="Control",$K1397=1),$L1397,"")</f>
        <v/>
      </c>
      <c r="T1397" s="3" t="n">
        <f aca="false">IF(AND($C1397="Treatment",$K1397=1),$L1397,"")</f>
        <v>1009.9</v>
      </c>
    </row>
    <row r="1398" customFormat="false" ht="15" hidden="false" customHeight="false" outlineLevel="0" collapsed="false">
      <c r="A1398" s="0" t="s">
        <v>1429</v>
      </c>
      <c r="B1398" s="2" t="n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0" t="n">
        <v>1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P1398" s="0" t="n">
        <v>62.4</v>
      </c>
      <c r="Q1398" s="0" t="str">
        <f aca="false">IF($C1398="Control",$P1398,"")</f>
        <v/>
      </c>
      <c r="R1398" s="3" t="n">
        <f aca="false">IF($C1398="Treatment",$P1398,"")</f>
        <v>62.4</v>
      </c>
      <c r="S1398" s="0" t="str">
        <f aca="false">IF(AND($C1398="Control",$K1398=1),$L1398,"")</f>
        <v/>
      </c>
      <c r="T1398" s="0" t="str">
        <f aca="false">IF(AND($C1398="Treatment",$K1398=1),$L1398,"")</f>
        <v/>
      </c>
    </row>
    <row r="1399" customFormat="false" ht="15" hidden="false" customHeight="false" outlineLevel="0" collapsed="false">
      <c r="A1399" s="0" t="s">
        <v>1430</v>
      </c>
      <c r="B1399" s="2" t="n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P1399" s="0" t="n">
        <v>67.3</v>
      </c>
      <c r="Q1399" s="0" t="str">
        <f aca="false">IF($C1399="Control",$P1399,"")</f>
        <v/>
      </c>
      <c r="R1399" s="3" t="n">
        <f aca="false">IF($C1399="Treatment",$P1399,"")</f>
        <v>67.3</v>
      </c>
      <c r="S1399" s="0" t="str">
        <f aca="false">IF(AND($C1399="Control",$K1399=1),$L1399,"")</f>
        <v/>
      </c>
      <c r="T1399" s="0" t="str">
        <f aca="false">IF(AND($C1399="Treatment",$K1399=1),$L1399,"")</f>
        <v/>
      </c>
    </row>
    <row r="1400" customFormat="false" ht="15" hidden="false" customHeight="false" outlineLevel="0" collapsed="false">
      <c r="A1400" s="0" t="s">
        <v>1431</v>
      </c>
      <c r="B1400" s="2" t="n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0" t="n">
        <v>1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P1400" s="0" t="n">
        <v>54.9</v>
      </c>
      <c r="Q1400" s="0" t="str">
        <f aca="false">IF($C1400="Control",$P1400,"")</f>
        <v/>
      </c>
      <c r="R1400" s="3" t="n">
        <f aca="false">IF($C1400="Treatment",$P1400,"")</f>
        <v>54.9</v>
      </c>
      <c r="S1400" s="0" t="str">
        <f aca="false">IF(AND($C1400="Control",$K1400=1),$L1400,"")</f>
        <v/>
      </c>
      <c r="T1400" s="0" t="str">
        <f aca="false">IF(AND($C1400="Treatment",$K1400=1),$L1400,"")</f>
        <v/>
      </c>
    </row>
    <row r="1401" customFormat="false" ht="15" hidden="false" customHeight="false" outlineLevel="0" collapsed="false">
      <c r="A1401" s="0" t="s">
        <v>1432</v>
      </c>
      <c r="B1401" s="2" t="n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P1401" s="0" t="n">
        <v>55.7</v>
      </c>
      <c r="Q1401" s="0" t="str">
        <f aca="false">IF($C1401="Control",$P1401,"")</f>
        <v/>
      </c>
      <c r="R1401" s="3" t="n">
        <f aca="false">IF($C1401="Treatment",$P1401,"")</f>
        <v>55.7</v>
      </c>
      <c r="S1401" s="0" t="str">
        <f aca="false">IF(AND($C1401="Control",$K1401=1),$L1401,"")</f>
        <v/>
      </c>
      <c r="T1401" s="0" t="str">
        <f aca="false">IF(AND($C1401="Treatment",$K1401=1),$L1401,"")</f>
        <v/>
      </c>
    </row>
    <row r="1403" customFormat="false" ht="15" hidden="false" customHeight="false" outlineLevel="0" collapsed="false">
      <c r="A1403" s="5" t="s">
        <v>1471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4"/>
  </cols>
  <sheetData>
    <row r="1" customFormat="false" ht="17.35" hidden="false" customHeight="false" outlineLevel="0" collapsed="false">
      <c r="A1" s="4" t="s">
        <v>1472</v>
      </c>
    </row>
    <row r="2" customFormat="false" ht="15" hidden="false" customHeight="false" outlineLevel="0" collapsed="false">
      <c r="A2" s="5" t="s">
        <v>1473</v>
      </c>
    </row>
    <row r="4" customFormat="false" ht="15" hidden="false" customHeight="false" outlineLevel="0" collapsed="false">
      <c r="A4" s="6" t="s">
        <v>1474</v>
      </c>
    </row>
    <row r="5" customFormat="false" ht="15" hidden="false" customHeight="false" outlineLevel="0" collapsed="false">
      <c r="A5" s="1" t="s">
        <v>3</v>
      </c>
      <c r="B5" s="1" t="s">
        <v>1475</v>
      </c>
      <c r="C5" s="1" t="s">
        <v>1476</v>
      </c>
      <c r="D5" s="1" t="s">
        <v>1477</v>
      </c>
      <c r="E5" s="1" t="s">
        <v>1478</v>
      </c>
    </row>
    <row r="6" customFormat="false" ht="15" hidden="false" customHeight="false" outlineLevel="0" collapsed="false">
      <c r="A6" s="7" t="s">
        <v>28</v>
      </c>
      <c r="B6" s="7" t="n">
        <f aca="false">COUNTIFS(cleaned_data!$D$2:$D$1401,A6,cleaned_data!$C$2:$C$1401,"Control")</f>
        <v>157</v>
      </c>
      <c r="C6" s="7" t="n">
        <f aca="false">COUNTIFS(cleaned_data!$D$2:$D$1401,A6,cleaned_data!$C$2:$C$1401,"Treatment")</f>
        <v>170</v>
      </c>
      <c r="D6" s="11" t="n">
        <f aca="false">B6/SUM($B$6:$B$9)</f>
        <v>0.227536231884058</v>
      </c>
      <c r="E6" s="11" t="n">
        <f aca="false">C6/SUM($C$6:$C$9)</f>
        <v>0.23943661971831</v>
      </c>
    </row>
    <row r="7" customFormat="false" ht="15" hidden="false" customHeight="false" outlineLevel="0" collapsed="false">
      <c r="A7" s="7" t="s">
        <v>18</v>
      </c>
      <c r="B7" s="7" t="n">
        <f aca="false">COUNTIFS(cleaned_data!$D$2:$D$1401,A7,cleaned_data!$C$2:$C$1401,"Control")</f>
        <v>201</v>
      </c>
      <c r="C7" s="7" t="n">
        <f aca="false">COUNTIFS(cleaned_data!$D$2:$D$1401,A7,cleaned_data!$C$2:$C$1401,"Treatment")</f>
        <v>180</v>
      </c>
      <c r="D7" s="11" t="n">
        <f aca="false">B7/SUM($B$6:$B$9)</f>
        <v>0.291304347826087</v>
      </c>
      <c r="E7" s="11" t="n">
        <f aca="false">C7/SUM($C$6:$C$9)</f>
        <v>0.253521126760563</v>
      </c>
    </row>
    <row r="8" customFormat="false" ht="15" hidden="false" customHeight="false" outlineLevel="0" collapsed="false">
      <c r="A8" s="7" t="s">
        <v>32</v>
      </c>
      <c r="B8" s="7" t="n">
        <f aca="false">COUNTIFS(cleaned_data!$D$2:$D$1401,A8,cleaned_data!$C$2:$C$1401,"Control")</f>
        <v>184</v>
      </c>
      <c r="C8" s="7" t="n">
        <f aca="false">COUNTIFS(cleaned_data!$D$2:$D$1401,A8,cleaned_data!$C$2:$C$1401,"Treatment")</f>
        <v>183</v>
      </c>
      <c r="D8" s="11" t="n">
        <f aca="false">B8/SUM($B$6:$B$9)</f>
        <v>0.266666666666667</v>
      </c>
      <c r="E8" s="11" t="n">
        <f aca="false">C8/SUM($C$6:$C$9)</f>
        <v>0.257746478873239</v>
      </c>
    </row>
    <row r="9" customFormat="false" ht="15" hidden="false" customHeight="false" outlineLevel="0" collapsed="false">
      <c r="A9" s="7" t="s">
        <v>23</v>
      </c>
      <c r="B9" s="7" t="n">
        <f aca="false">COUNTIFS(cleaned_data!$D$2:$D$1401,A9,cleaned_data!$C$2:$C$1401,"Control")</f>
        <v>148</v>
      </c>
      <c r="C9" s="7" t="n">
        <f aca="false">COUNTIFS(cleaned_data!$D$2:$D$1401,A9,cleaned_data!$C$2:$C$1401,"Treatment")</f>
        <v>177</v>
      </c>
      <c r="D9" s="11" t="n">
        <f aca="false">B9/SUM($B$6:$B$9)</f>
        <v>0.214492753623188</v>
      </c>
      <c r="E9" s="11" t="n">
        <f aca="false">C9/SUM($C$6:$C$9)</f>
        <v>0.249295774647887</v>
      </c>
    </row>
    <row r="12" customFormat="false" ht="15" hidden="false" customHeight="false" outlineLevel="0" collapsed="false">
      <c r="A12" s="6" t="s">
        <v>1479</v>
      </c>
    </row>
    <row r="13" customFormat="false" ht="15" hidden="false" customHeight="false" outlineLevel="0" collapsed="false">
      <c r="A13" s="1" t="s">
        <v>4</v>
      </c>
      <c r="B13" s="1" t="s">
        <v>1475</v>
      </c>
      <c r="C13" s="1" t="s">
        <v>1476</v>
      </c>
      <c r="D13" s="1" t="s">
        <v>1477</v>
      </c>
      <c r="E13" s="1" t="s">
        <v>1478</v>
      </c>
    </row>
    <row r="14" customFormat="false" ht="15" hidden="false" customHeight="false" outlineLevel="0" collapsed="false">
      <c r="A14" s="7" t="s">
        <v>19</v>
      </c>
      <c r="B14" s="7" t="n">
        <f aca="false">COUNTIFS(cleaned_data!$E$2:$E$1401,A14,cleaned_data!$C$2:$C$1401,"Control")</f>
        <v>200</v>
      </c>
      <c r="C14" s="7" t="n">
        <f aca="false">COUNTIFS(cleaned_data!$E$2:$E$1401,A14,cleaned_data!$C$2:$C$1401,"Treatment")</f>
        <v>213</v>
      </c>
      <c r="D14" s="11" t="n">
        <f aca="false">B14/SUM($B$14:$B$17)</f>
        <v>0.289855072463768</v>
      </c>
      <c r="E14" s="11" t="n">
        <f aca="false">C14/SUM($C$14:$C$17)</f>
        <v>0.3</v>
      </c>
    </row>
    <row r="15" customFormat="false" ht="15" hidden="false" customHeight="false" outlineLevel="0" collapsed="false">
      <c r="A15" s="7" t="s">
        <v>24</v>
      </c>
      <c r="B15" s="7" t="n">
        <f aca="false">COUNTIFS(cleaned_data!$E$2:$E$1401,A15,cleaned_data!$C$2:$C$1401,"Control")</f>
        <v>426</v>
      </c>
      <c r="C15" s="7" t="n">
        <f aca="false">COUNTIFS(cleaned_data!$E$2:$E$1401,A15,cleaned_data!$C$2:$C$1401,"Treatment")</f>
        <v>432</v>
      </c>
      <c r="D15" s="11" t="n">
        <f aca="false">B15/SUM($B$14:$B$17)</f>
        <v>0.617391304347826</v>
      </c>
      <c r="E15" s="11" t="n">
        <f aca="false">C15/SUM($C$14:$C$17)</f>
        <v>0.608450704225352</v>
      </c>
    </row>
    <row r="16" customFormat="false" ht="15" hidden="false" customHeight="false" outlineLevel="0" collapsed="false">
      <c r="A16" s="7" t="s">
        <v>34</v>
      </c>
      <c r="B16" s="7" t="n">
        <f aca="false">COUNTIFS(cleaned_data!$E$2:$E$1401,A16,cleaned_data!$C$2:$C$1401,"Control")</f>
        <v>55</v>
      </c>
      <c r="C16" s="7" t="n">
        <f aca="false">COUNTIFS(cleaned_data!$E$2:$E$1401,A16,cleaned_data!$C$2:$C$1401,"Treatment")</f>
        <v>56</v>
      </c>
      <c r="D16" s="11" t="n">
        <f aca="false">B16/SUM($B$14:$B$17)</f>
        <v>0.0797101449275362</v>
      </c>
      <c r="E16" s="11" t="n">
        <f aca="false">C16/SUM($C$14:$C$17)</f>
        <v>0.0788732394366197</v>
      </c>
    </row>
    <row r="17" customFormat="false" ht="15" hidden="false" customHeight="false" outlineLevel="0" collapsed="false">
      <c r="A17" s="7" t="s">
        <v>1470</v>
      </c>
      <c r="B17" s="7" t="n">
        <f aca="false">COUNTIFS(cleaned_data!$E$2:$E$1401,A17,cleaned_data!$C$2:$C$1401,"Control")</f>
        <v>9</v>
      </c>
      <c r="C17" s="7" t="n">
        <f aca="false">COUNTIFS(cleaned_data!$E$2:$E$1401,A17,cleaned_data!$C$2:$C$1401,"Treatment")</f>
        <v>9</v>
      </c>
      <c r="D17" s="11" t="n">
        <f aca="false">B17/SUM($B$14:$B$17)</f>
        <v>0.0130434782608696</v>
      </c>
      <c r="E17" s="11" t="n">
        <f aca="false">C17/SUM($C$14:$C$17)</f>
        <v>0.0126760563380282</v>
      </c>
    </row>
    <row r="20" customFormat="false" ht="15" hidden="false" customHeight="false" outlineLevel="0" collapsed="false">
      <c r="A20" s="6" t="s">
        <v>1480</v>
      </c>
    </row>
    <row r="21" customFormat="false" ht="15" hidden="false" customHeight="false" outlineLevel="0" collapsed="false">
      <c r="A21" s="1" t="s">
        <v>5</v>
      </c>
      <c r="B21" s="1" t="s">
        <v>1475</v>
      </c>
      <c r="C21" s="1" t="s">
        <v>1476</v>
      </c>
      <c r="D21" s="1" t="s">
        <v>1477</v>
      </c>
      <c r="E21" s="1" t="s">
        <v>1478</v>
      </c>
    </row>
    <row r="22" customFormat="false" ht="15" hidden="false" customHeight="false" outlineLevel="0" collapsed="false">
      <c r="A22" s="7" t="s">
        <v>20</v>
      </c>
      <c r="B22" s="7" t="n">
        <f aca="false">COUNTIFS(cleaned_data!$F$2:$F$1401,A22,cleaned_data!$C$2:$C$1401,"Control")</f>
        <v>73</v>
      </c>
      <c r="C22" s="7" t="n">
        <f aca="false">COUNTIFS(cleaned_data!$F$2:$F$1401,A22,cleaned_data!$C$2:$C$1401,"Treatment")</f>
        <v>56</v>
      </c>
      <c r="D22" s="11" t="n">
        <f aca="false">B22/SUM($B$22:$B$27)</f>
        <v>0.105797101449275</v>
      </c>
      <c r="E22" s="11" t="n">
        <f aca="false">C22/SUM($C$22:$C$27)</f>
        <v>0.0788732394366197</v>
      </c>
    </row>
    <row r="23" customFormat="false" ht="15" hidden="false" customHeight="false" outlineLevel="0" collapsed="false">
      <c r="A23" s="7" t="s">
        <v>25</v>
      </c>
      <c r="B23" s="7" t="n">
        <f aca="false">COUNTIFS(cleaned_data!$F$2:$F$1401,A23,cleaned_data!$C$2:$C$1401,"Control")</f>
        <v>246</v>
      </c>
      <c r="C23" s="7" t="n">
        <f aca="false">COUNTIFS(cleaned_data!$F$2:$F$1401,A23,cleaned_data!$C$2:$C$1401,"Treatment")</f>
        <v>237</v>
      </c>
      <c r="D23" s="11" t="n">
        <f aca="false">B23/SUM($B$22:$B$27)</f>
        <v>0.356521739130435</v>
      </c>
      <c r="E23" s="11" t="n">
        <f aca="false">C23/SUM($C$22:$C$27)</f>
        <v>0.333802816901408</v>
      </c>
    </row>
    <row r="24" customFormat="false" ht="15" hidden="false" customHeight="false" outlineLevel="0" collapsed="false">
      <c r="A24" s="7" t="s">
        <v>29</v>
      </c>
      <c r="B24" s="7" t="n">
        <f aca="false">COUNTIFS(cleaned_data!$F$2:$F$1401,A24,cleaned_data!$C$2:$C$1401,"Control")</f>
        <v>155</v>
      </c>
      <c r="C24" s="7" t="n">
        <f aca="false">COUNTIFS(cleaned_data!$F$2:$F$1401,A24,cleaned_data!$C$2:$C$1401,"Treatment")</f>
        <v>176</v>
      </c>
      <c r="D24" s="11" t="n">
        <f aca="false">B24/SUM($B$22:$B$27)</f>
        <v>0.22463768115942</v>
      </c>
      <c r="E24" s="11" t="n">
        <f aca="false">C24/SUM($C$22:$C$27)</f>
        <v>0.247887323943662</v>
      </c>
    </row>
    <row r="25" customFormat="false" ht="15" hidden="false" customHeight="false" outlineLevel="0" collapsed="false">
      <c r="A25" s="7" t="s">
        <v>39</v>
      </c>
      <c r="B25" s="7" t="n">
        <f aca="false">COUNTIFS(cleaned_data!$F$2:$F$1401,A25,cleaned_data!$C$2:$C$1401,"Control")</f>
        <v>81</v>
      </c>
      <c r="C25" s="7" t="n">
        <f aca="false">COUNTIFS(cleaned_data!$F$2:$F$1401,A25,cleaned_data!$C$2:$C$1401,"Treatment")</f>
        <v>91</v>
      </c>
      <c r="D25" s="11" t="n">
        <f aca="false">B25/SUM($B$22:$B$27)</f>
        <v>0.117391304347826</v>
      </c>
      <c r="E25" s="11" t="n">
        <f aca="false">C25/SUM($C$22:$C$27)</f>
        <v>0.128169014084507</v>
      </c>
    </row>
    <row r="26" customFormat="false" ht="15" hidden="false" customHeight="false" outlineLevel="0" collapsed="false">
      <c r="A26" s="7" t="s">
        <v>41</v>
      </c>
      <c r="B26" s="7" t="n">
        <f aca="false">COUNTIFS(cleaned_data!$F$2:$F$1401,A26,cleaned_data!$C$2:$C$1401,"Control")</f>
        <v>129</v>
      </c>
      <c r="C26" s="7" t="n">
        <f aca="false">COUNTIFS(cleaned_data!$F$2:$F$1401,A26,cleaned_data!$C$2:$C$1401,"Treatment")</f>
        <v>132</v>
      </c>
      <c r="D26" s="11" t="n">
        <f aca="false">B26/SUM($B$22:$B$27)</f>
        <v>0.18695652173913</v>
      </c>
      <c r="E26" s="11" t="n">
        <f aca="false">C26/SUM($C$22:$C$27)</f>
        <v>0.185915492957746</v>
      </c>
    </row>
    <row r="27" customFormat="false" ht="15" hidden="false" customHeight="false" outlineLevel="0" collapsed="false">
      <c r="A27" s="7" t="s">
        <v>1470</v>
      </c>
      <c r="B27" s="7" t="n">
        <f aca="false">COUNTIFS(cleaned_data!$F$2:$F$1401,A27,cleaned_data!$C$2:$C$1401,"Control")</f>
        <v>6</v>
      </c>
      <c r="C27" s="7" t="n">
        <f aca="false">COUNTIFS(cleaned_data!$F$2:$F$1401,A27,cleaned_data!$C$2:$C$1401,"Treatment")</f>
        <v>18</v>
      </c>
      <c r="D27" s="11" t="n">
        <f aca="false">B27/SUM($B$22:$B$27)</f>
        <v>0.00869565217391304</v>
      </c>
      <c r="E27" s="11" t="n">
        <f aca="false">C27/SUM($C$22:$C$27)</f>
        <v>0.0253521126760563</v>
      </c>
    </row>
    <row r="30" customFormat="false" ht="15" hidden="false" customHeight="false" outlineLevel="0" collapsed="false">
      <c r="A30" s="6" t="s">
        <v>1481</v>
      </c>
    </row>
    <row r="31" customFormat="false" ht="15" hidden="false" customHeight="false" outlineLevel="0" collapsed="false">
      <c r="A31" s="1" t="s">
        <v>6</v>
      </c>
      <c r="B31" s="1" t="s">
        <v>1475</v>
      </c>
      <c r="C31" s="1" t="s">
        <v>1476</v>
      </c>
      <c r="D31" s="1" t="s">
        <v>1477</v>
      </c>
      <c r="E31" s="1" t="s">
        <v>1478</v>
      </c>
    </row>
    <row r="32" customFormat="false" ht="15" hidden="false" customHeight="false" outlineLevel="0" collapsed="false">
      <c r="A32" s="7" t="s">
        <v>21</v>
      </c>
      <c r="B32" s="7" t="n">
        <f aca="false">COUNTIFS(cleaned_data!$G$2:$G$1401,A32,cleaned_data!$C$2:$C$1401,"Control")</f>
        <v>221</v>
      </c>
      <c r="C32" s="7" t="n">
        <f aca="false">COUNTIFS(cleaned_data!$G$2:$G$1401,A32,cleaned_data!$C$2:$C$1401,"Treatment")</f>
        <v>232</v>
      </c>
      <c r="D32" s="11" t="n">
        <f aca="false">B32/SUM($B$32:$B$34)</f>
        <v>0.320289855072464</v>
      </c>
      <c r="E32" s="11" t="n">
        <f aca="false">C32/SUM($C$32:$C$34)</f>
        <v>0.326760563380282</v>
      </c>
    </row>
    <row r="33" customFormat="false" ht="15" hidden="false" customHeight="false" outlineLevel="0" collapsed="false">
      <c r="A33" s="7" t="s">
        <v>26</v>
      </c>
      <c r="B33" s="7" t="n">
        <f aca="false">COUNTIFS(cleaned_data!$G$2:$G$1401,A33,cleaned_data!$C$2:$C$1401,"Control")</f>
        <v>360</v>
      </c>
      <c r="C33" s="7" t="n">
        <f aca="false">COUNTIFS(cleaned_data!$G$2:$G$1401,A33,cleaned_data!$C$2:$C$1401,"Treatment")</f>
        <v>366</v>
      </c>
      <c r="D33" s="11" t="n">
        <f aca="false">B33/SUM($B$32:$B$34)</f>
        <v>0.521739130434783</v>
      </c>
      <c r="E33" s="11" t="n">
        <f aca="false">C33/SUM($C$32:$C$34)</f>
        <v>0.515492957746479</v>
      </c>
    </row>
    <row r="34" customFormat="false" ht="15" hidden="false" customHeight="false" outlineLevel="0" collapsed="false">
      <c r="A34" s="7" t="s">
        <v>30</v>
      </c>
      <c r="B34" s="7" t="n">
        <f aca="false">COUNTIFS(cleaned_data!$G$2:$G$1401,A34,cleaned_data!$C$2:$C$1401,"Control")</f>
        <v>109</v>
      </c>
      <c r="C34" s="7" t="n">
        <f aca="false">COUNTIFS(cleaned_data!$G$2:$G$1401,A34,cleaned_data!$C$2:$C$1401,"Treatment")</f>
        <v>112</v>
      </c>
      <c r="D34" s="11" t="n">
        <f aca="false">B34/SUM($B$32:$B$34)</f>
        <v>0.157971014492754</v>
      </c>
      <c r="E34" s="11" t="n">
        <f aca="false">C34/SUM($C$32:$C$34)</f>
        <v>0.157746478873239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4" t="s">
        <v>1482</v>
      </c>
    </row>
    <row r="2" customFormat="false" ht="15" hidden="false" customHeight="false" outlineLevel="0" collapsed="false">
      <c r="A2" s="5" t="s">
        <v>1483</v>
      </c>
    </row>
    <row r="4" customFormat="false" ht="15" hidden="false" customHeight="false" outlineLevel="0" collapsed="false">
      <c r="A4" s="1" t="s">
        <v>1484</v>
      </c>
      <c r="B4" s="1" t="s">
        <v>17</v>
      </c>
      <c r="C4" s="1" t="s">
        <v>723</v>
      </c>
      <c r="D4" s="1" t="s">
        <v>1485</v>
      </c>
      <c r="E4" s="1" t="s">
        <v>1486</v>
      </c>
    </row>
    <row r="5" customFormat="false" ht="15" hidden="false" customHeight="false" outlineLevel="0" collapsed="false">
      <c r="A5" s="7" t="s">
        <v>1487</v>
      </c>
      <c r="B5" s="12" t="n">
        <f aca="false">COUNTIF(cleaned_data!$C$2:$C$1401,"Control")</f>
        <v>690</v>
      </c>
      <c r="C5" s="12" t="n">
        <f aca="false">COUNTIF(cleaned_data!$C$2:$C$1401,"Treatment")</f>
        <v>710</v>
      </c>
      <c r="D5" s="12" t="n">
        <f aca="false">C5-B5</f>
        <v>20</v>
      </c>
      <c r="E5" s="8" t="n">
        <f aca="false">IF(B5=0,"n/a",(C5-B5)/B5)</f>
        <v>0.0289855072463768</v>
      </c>
    </row>
    <row r="6" customFormat="false" ht="15" hidden="false" customHeight="false" outlineLevel="0" collapsed="false">
      <c r="A6" s="7" t="s">
        <v>1488</v>
      </c>
      <c r="B6" s="13" t="n">
        <f aca="false">AVERAGEIF(cleaned_data!$C$2:$C$1401,"Control",cleaned_data!$H$2:$H$1401)</f>
        <v>0.636231884057971</v>
      </c>
      <c r="C6" s="13" t="n">
        <f aca="false">AVERAGEIF(cleaned_data!$C$2:$C$1401,"Treatment",cleaned_data!$H$2:$H$1401)</f>
        <v>0.723943661971831</v>
      </c>
      <c r="D6" s="13" t="n">
        <f aca="false">C6-B6</f>
        <v>0.08771177791386</v>
      </c>
      <c r="E6" s="8" t="n">
        <f aca="false">IF(B6=0,"n/a",(C6-B6)/B6)</f>
        <v>0.137861336584427</v>
      </c>
    </row>
    <row r="7" customFormat="false" ht="15" hidden="false" customHeight="false" outlineLevel="0" collapsed="false">
      <c r="A7" s="7" t="s">
        <v>1489</v>
      </c>
      <c r="B7" s="13" t="n">
        <f aca="false">AVERAGEIF(cleaned_data!$C$2:$C$1401,"Control",cleaned_data!$I$2:$I$1401)</f>
        <v>0.250724637681159</v>
      </c>
      <c r="C7" s="13" t="n">
        <f aca="false">AVERAGEIF(cleaned_data!$C$2:$C$1401,"Treatment",cleaned_data!$I$2:$I$1401)</f>
        <v>0.290140845070423</v>
      </c>
      <c r="D7" s="13" t="n">
        <f aca="false">C7-B7</f>
        <v>0.0394162073892631</v>
      </c>
      <c r="E7" s="8" t="n">
        <f aca="false">IF(B7=0,"n/a",(C7-B7)/B7)</f>
        <v>0.157209150858911</v>
      </c>
    </row>
    <row r="8" customFormat="false" ht="15" hidden="false" customHeight="false" outlineLevel="0" collapsed="false">
      <c r="A8" s="7" t="s">
        <v>1490</v>
      </c>
      <c r="B8" s="13" t="n">
        <f aca="false">AVERAGEIF(cleaned_data!$C$2:$C$1401,"Control",cleaned_data!$J$2:$J$1401)</f>
        <v>0.156521739130435</v>
      </c>
      <c r="C8" s="13" t="n">
        <f aca="false">AVERAGEIF(cleaned_data!$C$2:$C$1401,"Treatment",cleaned_data!$J$2:$J$1401)</f>
        <v>0.211267605633803</v>
      </c>
      <c r="D8" s="13" t="n">
        <f aca="false">C8-B8</f>
        <v>0.054745866503368</v>
      </c>
      <c r="E8" s="8" t="n">
        <f aca="false">IF(B8=0,"n/a",(C8-B8)/B8)</f>
        <v>0.349765258215962</v>
      </c>
    </row>
    <row r="9" customFormat="false" ht="15" hidden="false" customHeight="false" outlineLevel="0" collapsed="false">
      <c r="A9" s="14" t="s">
        <v>1491</v>
      </c>
      <c r="B9" s="15" t="n">
        <f aca="false">AVERAGEIF(cleaned_data!$C$2:$C$1401,"Control",cleaned_data!$K$2:$K$1401)</f>
        <v>0.0318840579710145</v>
      </c>
      <c r="C9" s="15" t="n">
        <f aca="false">AVERAGEIF(cleaned_data!$C$2:$C$1401,"Treatment",cleaned_data!$K$2:$K$1401)</f>
        <v>0.0704225352112676</v>
      </c>
      <c r="D9" s="15" t="n">
        <f aca="false">C9-B9</f>
        <v>0.0385384772402531</v>
      </c>
      <c r="E9" s="16" t="n">
        <f aca="false">IF(B9=0,"n/a",(C9-B9)/B9)</f>
        <v>1.20870678617158</v>
      </c>
    </row>
    <row r="10" customFormat="false" ht="15" hidden="false" customHeight="false" outlineLevel="0" collapsed="false">
      <c r="A10" s="7" t="s">
        <v>1492</v>
      </c>
      <c r="B10" s="17" t="n">
        <f aca="false">AVERAGEIF(cleaned_data!$C$2:$C$1401,"Control",cleaned_data!$L$2:$L$1401)</f>
        <v>51.9743188405797</v>
      </c>
      <c r="C10" s="17" t="n">
        <f aca="false">AVERAGEIF(cleaned_data!$C$2:$C$1401,"Treatment",cleaned_data!$L$2:$L$1401)</f>
        <v>54.2545211267606</v>
      </c>
      <c r="D10" s="17" t="n">
        <f aca="false">C10-B10</f>
        <v>2.28020228618086</v>
      </c>
      <c r="E10" s="8" t="n">
        <f aca="false">IF(B10=0,"n/a",(C10-B10)/B10)</f>
        <v>0.0438717108188546</v>
      </c>
    </row>
    <row r="11" customFormat="false" ht="15" hidden="false" customHeight="false" outlineLevel="0" collapsed="false">
      <c r="A11" s="7" t="s">
        <v>1493</v>
      </c>
      <c r="B11" s="17" t="n">
        <f aca="false">AVERAGEIFS(cleaned_data!$L$2:$L$1401,cleaned_data!$C$2:$C$1401,"Control",cleaned_data!$K$2:$K$1401,1)</f>
        <v>1630.10363636364</v>
      </c>
      <c r="C11" s="17" t="n">
        <f aca="false">AVERAGEIFS(cleaned_data!$L$2:$L$1401,cleaned_data!$C$2:$C$1401,"Treatment",cleaned_data!$K$2:$K$1401,1)</f>
        <v>770.4142</v>
      </c>
      <c r="D11" s="17" t="n">
        <f aca="false">C11-B11</f>
        <v>-859.689436363636</v>
      </c>
      <c r="E11" s="8" t="n">
        <f aca="false">IF(B11=0,"n/a",(C11-B11)/B11)</f>
        <v>-0.527383300782884</v>
      </c>
    </row>
    <row r="12" customFormat="false" ht="15" hidden="false" customHeight="false" outlineLevel="0" collapsed="false">
      <c r="A12" s="18" t="s">
        <v>1494</v>
      </c>
      <c r="B12" s="19" t="n">
        <f aca="false">AVERAGEIF(cleaned_data!$C$2:$C$1401,"Control",cleaned_data!$N$2:$N$1401)</f>
        <v>0</v>
      </c>
      <c r="C12" s="19" t="n">
        <f aca="false">AVERAGEIF(cleaned_data!$C$2:$C$1401,"Treatment",cleaned_data!$N$2:$N$1401)</f>
        <v>0.00422535211267606</v>
      </c>
      <c r="D12" s="19" t="n">
        <f aca="false">C12-B12</f>
        <v>0.00422535211267606</v>
      </c>
      <c r="E12" s="20" t="str">
        <f aca="false">IF(B12=0,"n/a",(C12-B12)/B12)</f>
        <v>n/a</v>
      </c>
    </row>
    <row r="13" customFormat="false" ht="15" hidden="false" customHeight="false" outlineLevel="0" collapsed="false">
      <c r="A13" s="18" t="s">
        <v>1495</v>
      </c>
      <c r="B13" s="19" t="n">
        <f aca="false">COUNTIFS(cleaned_data!$C$2:$C$1401,"Control",cleaned_data!$M$2:$M$1401,"&gt;0")/COUNTIF(cleaned_data!$C$2:$C$1401,"Control")</f>
        <v>0.147826086956522</v>
      </c>
      <c r="C13" s="19" t="n">
        <f aca="false">COUNTIFS(cleaned_data!$C$2:$C$1401,"Treatment",cleaned_data!$M$2:$M$1401,"&gt;0")/COUNTIF(cleaned_data!$C$2:$C$1401,"Treatment")</f>
        <v>0.247887323943662</v>
      </c>
      <c r="D13" s="19" t="n">
        <f aca="false">C13-B13</f>
        <v>0.10006123698714</v>
      </c>
      <c r="E13" s="20" t="n">
        <f aca="false">IF(B13=0,"n/a",(C13-B13)/B13)</f>
        <v>0.676884838442419</v>
      </c>
    </row>
    <row r="14" customFormat="false" ht="15" hidden="false" customHeight="false" outlineLevel="0" collapsed="false">
      <c r="A14" s="7" t="s">
        <v>1496</v>
      </c>
      <c r="B14" s="12" t="n">
        <f aca="false">AVERAGEIF(cleaned_data!$C$2:$C$1401,"Control",cleaned_data!$P$2:$P$1401)</f>
        <v>57.0295321637427</v>
      </c>
      <c r="C14" s="12" t="n">
        <f aca="false">AVERAGEIF(cleaned_data!$C$2:$C$1401,"Treatment",cleaned_data!$P$2:$P$1401)</f>
        <v>62.9400284900285</v>
      </c>
      <c r="D14" s="12" t="n">
        <f aca="false">C14-B14</f>
        <v>5.9104963262858</v>
      </c>
      <c r="E14" s="8" t="n">
        <f aca="false">IF(B14=0,"n/a",(C14-B14)/B14)</f>
        <v>0.103639221681069</v>
      </c>
    </row>
    <row r="15" customFormat="false" ht="15" hidden="false" customHeight="false" outlineLevel="0" collapsed="false">
      <c r="A15" s="7" t="s">
        <v>1497</v>
      </c>
      <c r="B15" s="12" t="n">
        <f aca="false">AVERAGEIFS(cleaned_data!$O$2:$O$1401,cleaned_data!$C$2:$C$1401,"Control",cleaned_data!$K$2:$K$1401,1)</f>
        <v>8.86363636363636</v>
      </c>
      <c r="C15" s="12" t="n">
        <f aca="false">AVERAGEIFS(cleaned_data!$O$2:$O$1401,cleaned_data!$C$2:$C$1401,"Treatment",cleaned_data!$K$2:$K$1401,1)</f>
        <v>6.4</v>
      </c>
      <c r="D15" s="12" t="n">
        <f aca="false">C15-B15</f>
        <v>-2.46363636363636</v>
      </c>
      <c r="E15" s="8" t="n">
        <f aca="false">IF(B15=0,"n/a",(C15-B15)/B15)</f>
        <v>-0.277948717948718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6" min="3" style="0" width="16"/>
  </cols>
  <sheetData>
    <row r="1" customFormat="false" ht="17.35" hidden="false" customHeight="false" outlineLevel="0" collapsed="false">
      <c r="A1" s="4" t="s">
        <v>1498</v>
      </c>
    </row>
    <row r="2" customFormat="false" ht="15" hidden="false" customHeight="false" outlineLevel="0" collapsed="false">
      <c r="A2" s="5" t="s">
        <v>1499</v>
      </c>
    </row>
    <row r="4" customFormat="false" ht="15" hidden="false" customHeight="false" outlineLevel="0" collapsed="false">
      <c r="A4" s="6" t="s">
        <v>1474</v>
      </c>
    </row>
    <row r="5" customFormat="false" ht="23.85" hidden="false" customHeight="false" outlineLevel="0" collapsed="false">
      <c r="A5" s="1" t="s">
        <v>3</v>
      </c>
      <c r="B5" s="1" t="s">
        <v>1500</v>
      </c>
      <c r="C5" s="1" t="s">
        <v>1501</v>
      </c>
      <c r="D5" s="1" t="s">
        <v>1502</v>
      </c>
      <c r="E5" s="1" t="s">
        <v>1503</v>
      </c>
      <c r="F5" s="1" t="s">
        <v>1504</v>
      </c>
    </row>
    <row r="6" customFormat="false" ht="15" hidden="false" customHeight="false" outlineLevel="0" collapsed="false">
      <c r="A6" s="7" t="s">
        <v>28</v>
      </c>
      <c r="B6" s="7" t="s">
        <v>17</v>
      </c>
      <c r="C6" s="7" t="n">
        <f aca="false">COUNTIFS(cleaned_data!$D$2:$D$1401,"East",cleaned_data!$C$2:$C$1401,"Control")</f>
        <v>157</v>
      </c>
      <c r="D6" s="13" t="n">
        <f aca="false">AVERAGEIFS(cleaned_data!$K$2:$K$1401,cleaned_data!$D$2:$D$1401,"East",cleaned_data!$C$2:$C$1401,"Control")</f>
        <v>0.0254777070063694</v>
      </c>
      <c r="E6" s="13" t="n">
        <f aca="false">AVERAGEIFS(cleaned_data!$N$2:$N$1401,cleaned_data!$D$2:$D$1401,"East",cleaned_data!$C$2:$C$1401,"Control")</f>
        <v>0</v>
      </c>
      <c r="F6" s="12" t="n">
        <f aca="false">AVERAGEIFS(cleaned_data!$P$2:$P$1401,cleaned_data!$D$2:$D$1401,"East",cleaned_data!$C$2:$C$1401,"Control")</f>
        <v>56.556050955414</v>
      </c>
    </row>
    <row r="7" customFormat="false" ht="15" hidden="false" customHeight="false" outlineLevel="0" collapsed="false">
      <c r="A7" s="7" t="s">
        <v>28</v>
      </c>
      <c r="B7" s="7" t="s">
        <v>723</v>
      </c>
      <c r="C7" s="7" t="n">
        <f aca="false">COUNTIFS(cleaned_data!$D$2:$D$1401,"East",cleaned_data!$C$2:$C$1401,"Treatment")</f>
        <v>170</v>
      </c>
      <c r="D7" s="13" t="n">
        <f aca="false">AVERAGEIFS(cleaned_data!$K$2:$K$1401,cleaned_data!$D$2:$D$1401,"East",cleaned_data!$C$2:$C$1401,"Treatment")</f>
        <v>0.0647058823529412</v>
      </c>
      <c r="E7" s="13" t="n">
        <f aca="false">AVERAGEIFS(cleaned_data!$N$2:$N$1401,cleaned_data!$D$2:$D$1401,"East",cleaned_data!$C$2:$C$1401,"Treatment")</f>
        <v>0.00588235294117647</v>
      </c>
      <c r="F7" s="12" t="n">
        <f aca="false">AVERAGEIFS(cleaned_data!$P$2:$P$1401,cleaned_data!$D$2:$D$1401,"East",cleaned_data!$C$2:$C$1401,"Treatment")</f>
        <v>63.3076923076923</v>
      </c>
    </row>
    <row r="8" customFormat="false" ht="15" hidden="false" customHeight="false" outlineLevel="0" collapsed="false">
      <c r="A8" s="7" t="s">
        <v>18</v>
      </c>
      <c r="B8" s="7" t="s">
        <v>17</v>
      </c>
      <c r="C8" s="7" t="n">
        <f aca="false">COUNTIFS(cleaned_data!$D$2:$D$1401,"North",cleaned_data!$C$2:$C$1401,"Control")</f>
        <v>201</v>
      </c>
      <c r="D8" s="13" t="n">
        <f aca="false">AVERAGEIFS(cleaned_data!$K$2:$K$1401,cleaned_data!$D$2:$D$1401,"North",cleaned_data!$C$2:$C$1401,"Control")</f>
        <v>0.0348258706467662</v>
      </c>
      <c r="E8" s="13" t="n">
        <f aca="false">AVERAGEIFS(cleaned_data!$N$2:$N$1401,cleaned_data!$D$2:$D$1401,"North",cleaned_data!$C$2:$C$1401,"Control")</f>
        <v>0</v>
      </c>
      <c r="F8" s="12" t="n">
        <f aca="false">AVERAGEIFS(cleaned_data!$P$2:$P$1401,cleaned_data!$D$2:$D$1401,"North",cleaned_data!$C$2:$C$1401,"Control")</f>
        <v>57.6166666666667</v>
      </c>
    </row>
    <row r="9" customFormat="false" ht="15" hidden="false" customHeight="false" outlineLevel="0" collapsed="false">
      <c r="A9" s="7" t="s">
        <v>18</v>
      </c>
      <c r="B9" s="7" t="s">
        <v>723</v>
      </c>
      <c r="C9" s="7" t="n">
        <f aca="false">COUNTIFS(cleaned_data!$D$2:$D$1401,"North",cleaned_data!$C$2:$C$1401,"Treatment")</f>
        <v>180</v>
      </c>
      <c r="D9" s="13" t="n">
        <f aca="false">AVERAGEIFS(cleaned_data!$K$2:$K$1401,cleaned_data!$D$2:$D$1401,"North",cleaned_data!$C$2:$C$1401,"Treatment")</f>
        <v>0.0888888888888889</v>
      </c>
      <c r="E9" s="13" t="n">
        <f aca="false">AVERAGEIFS(cleaned_data!$N$2:$N$1401,cleaned_data!$D$2:$D$1401,"North",cleaned_data!$C$2:$C$1401,"Treatment")</f>
        <v>0</v>
      </c>
      <c r="F9" s="12" t="n">
        <f aca="false">AVERAGEIFS(cleaned_data!$P$2:$P$1401,cleaned_data!$D$2:$D$1401,"North",cleaned_data!$C$2:$C$1401,"Treatment")</f>
        <v>63.1539772727273</v>
      </c>
    </row>
    <row r="10" customFormat="false" ht="15" hidden="false" customHeight="false" outlineLevel="0" collapsed="false">
      <c r="A10" s="7" t="s">
        <v>32</v>
      </c>
      <c r="B10" s="7" t="s">
        <v>17</v>
      </c>
      <c r="C10" s="7" t="n">
        <f aca="false">COUNTIFS(cleaned_data!$D$2:$D$1401,"South",cleaned_data!$C$2:$C$1401,"Control")</f>
        <v>184</v>
      </c>
      <c r="D10" s="13" t="n">
        <f aca="false">AVERAGEIFS(cleaned_data!$K$2:$K$1401,cleaned_data!$D$2:$D$1401,"South",cleaned_data!$C$2:$C$1401,"Control")</f>
        <v>0.0326086956521739</v>
      </c>
      <c r="E10" s="13" t="n">
        <f aca="false">AVERAGEIFS(cleaned_data!$N$2:$N$1401,cleaned_data!$D$2:$D$1401,"South",cleaned_data!$C$2:$C$1401,"Control")</f>
        <v>0</v>
      </c>
      <c r="F10" s="12" t="n">
        <f aca="false">AVERAGEIFS(cleaned_data!$P$2:$P$1401,cleaned_data!$D$2:$D$1401,"South",cleaned_data!$C$2:$C$1401,"Control")</f>
        <v>56.9049723756906</v>
      </c>
    </row>
    <row r="11" customFormat="false" ht="15" hidden="false" customHeight="false" outlineLevel="0" collapsed="false">
      <c r="A11" s="7" t="s">
        <v>32</v>
      </c>
      <c r="B11" s="7" t="s">
        <v>723</v>
      </c>
      <c r="C11" s="7" t="n">
        <f aca="false">COUNTIFS(cleaned_data!$D$2:$D$1401,"South",cleaned_data!$C$2:$C$1401,"Treatment")</f>
        <v>183</v>
      </c>
      <c r="D11" s="13" t="n">
        <f aca="false">AVERAGEIFS(cleaned_data!$K$2:$K$1401,cleaned_data!$D$2:$D$1401,"South",cleaned_data!$C$2:$C$1401,"Treatment")</f>
        <v>0.0765027322404372</v>
      </c>
      <c r="E11" s="13" t="n">
        <f aca="false">AVERAGEIFS(cleaned_data!$N$2:$N$1401,cleaned_data!$D$2:$D$1401,"South",cleaned_data!$C$2:$C$1401,"Treatment")</f>
        <v>0</v>
      </c>
      <c r="F11" s="12" t="n">
        <f aca="false">AVERAGEIFS(cleaned_data!$P$2:$P$1401,cleaned_data!$D$2:$D$1401,"South",cleaned_data!$C$2:$C$1401,"Treatment")</f>
        <v>62.1132596685083</v>
      </c>
    </row>
    <row r="12" customFormat="false" ht="15" hidden="false" customHeight="false" outlineLevel="0" collapsed="false">
      <c r="A12" s="7" t="s">
        <v>23</v>
      </c>
      <c r="B12" s="7" t="s">
        <v>17</v>
      </c>
      <c r="C12" s="7" t="n">
        <f aca="false">COUNTIFS(cleaned_data!$D$2:$D$1401,"West",cleaned_data!$C$2:$C$1401,"Control")</f>
        <v>148</v>
      </c>
      <c r="D12" s="13" t="n">
        <f aca="false">AVERAGEIFS(cleaned_data!$K$2:$K$1401,cleaned_data!$D$2:$D$1401,"West",cleaned_data!$C$2:$C$1401,"Control")</f>
        <v>0.0337837837837838</v>
      </c>
      <c r="E12" s="13" t="n">
        <f aca="false">AVERAGEIFS(cleaned_data!$N$2:$N$1401,cleaned_data!$D$2:$D$1401,"West",cleaned_data!$C$2:$C$1401,"Control")</f>
        <v>0</v>
      </c>
      <c r="F12" s="12" t="n">
        <f aca="false">AVERAGEIFS(cleaned_data!$P$2:$P$1401,cleaned_data!$D$2:$D$1401,"West",cleaned_data!$C$2:$C$1401,"Control")</f>
        <v>56.8986486486486</v>
      </c>
    </row>
    <row r="13" customFormat="false" ht="15" hidden="false" customHeight="false" outlineLevel="0" collapsed="false">
      <c r="A13" s="7" t="s">
        <v>23</v>
      </c>
      <c r="B13" s="7" t="s">
        <v>723</v>
      </c>
      <c r="C13" s="7" t="n">
        <f aca="false">COUNTIFS(cleaned_data!$D$2:$D$1401,"West",cleaned_data!$C$2:$C$1401,"Treatment")</f>
        <v>177</v>
      </c>
      <c r="D13" s="13" t="n">
        <f aca="false">AVERAGEIFS(cleaned_data!$K$2:$K$1401,cleaned_data!$D$2:$D$1401,"West",cleaned_data!$C$2:$C$1401,"Treatment")</f>
        <v>0.0508474576271187</v>
      </c>
      <c r="E13" s="13" t="n">
        <f aca="false">AVERAGEIFS(cleaned_data!$N$2:$N$1401,cleaned_data!$D$2:$D$1401,"West",cleaned_data!$C$2:$C$1401,"Treatment")</f>
        <v>0.0112994350282486</v>
      </c>
      <c r="F13" s="12" t="n">
        <f aca="false">AVERAGEIFS(cleaned_data!$P$2:$P$1401,cleaned_data!$D$2:$D$1401,"West",cleaned_data!$C$2:$C$1401,"Treatment")</f>
        <v>63.2232954545455</v>
      </c>
    </row>
    <row r="15" customFormat="false" ht="15" hidden="false" customHeight="false" outlineLevel="0" collapsed="false">
      <c r="A15" s="6" t="s">
        <v>1479</v>
      </c>
    </row>
    <row r="16" customFormat="false" ht="23.85" hidden="false" customHeight="false" outlineLevel="0" collapsed="false">
      <c r="A16" s="1" t="s">
        <v>4</v>
      </c>
      <c r="B16" s="1" t="s">
        <v>1500</v>
      </c>
      <c r="C16" s="1" t="s">
        <v>1501</v>
      </c>
      <c r="D16" s="1" t="s">
        <v>1502</v>
      </c>
      <c r="E16" s="1" t="s">
        <v>1503</v>
      </c>
      <c r="F16" s="1" t="s">
        <v>1504</v>
      </c>
    </row>
    <row r="17" customFormat="false" ht="15" hidden="false" customHeight="false" outlineLevel="0" collapsed="false">
      <c r="A17" s="7" t="s">
        <v>19</v>
      </c>
      <c r="B17" s="7" t="s">
        <v>17</v>
      </c>
      <c r="C17" s="7" t="n">
        <f aca="false">COUNTIFS(cleaned_data!$E$2:$E$1401,"Desktop",cleaned_data!$C$2:$C$1401,"Control")</f>
        <v>200</v>
      </c>
      <c r="D17" s="13" t="n">
        <f aca="false">AVERAGEIFS(cleaned_data!$K$2:$K$1401,cleaned_data!$E$2:$E$1401,"Desktop",cleaned_data!$C$2:$C$1401,"Control")</f>
        <v>0.045</v>
      </c>
      <c r="E17" s="13" t="n">
        <f aca="false">AVERAGEIFS(cleaned_data!$N$2:$N$1401,cleaned_data!$E$2:$E$1401,"Desktop",cleaned_data!$C$2:$C$1401,"Control")</f>
        <v>0</v>
      </c>
      <c r="F17" s="12" t="n">
        <f aca="false">AVERAGEIFS(cleaned_data!$P$2:$P$1401,cleaned_data!$E$2:$E$1401,"Desktop",cleaned_data!$C$2:$C$1401,"Control")</f>
        <v>57.2125628140703</v>
      </c>
    </row>
    <row r="18" customFormat="false" ht="15" hidden="false" customHeight="false" outlineLevel="0" collapsed="false">
      <c r="A18" s="7" t="s">
        <v>19</v>
      </c>
      <c r="B18" s="7" t="s">
        <v>723</v>
      </c>
      <c r="C18" s="7" t="n">
        <f aca="false">COUNTIFS(cleaned_data!$E$2:$E$1401,"Desktop",cleaned_data!$C$2:$C$1401,"Treatment")</f>
        <v>213</v>
      </c>
      <c r="D18" s="13" t="n">
        <f aca="false">AVERAGEIFS(cleaned_data!$K$2:$K$1401,cleaned_data!$E$2:$E$1401,"Desktop",cleaned_data!$C$2:$C$1401,"Treatment")</f>
        <v>0.0657276995305164</v>
      </c>
      <c r="E18" s="13" t="n">
        <f aca="false">AVERAGEIFS(cleaned_data!$N$2:$N$1401,cleaned_data!$E$2:$E$1401,"Desktop",cleaned_data!$C$2:$C$1401,"Treatment")</f>
        <v>0</v>
      </c>
      <c r="F18" s="12" t="n">
        <f aca="false">AVERAGEIFS(cleaned_data!$P$2:$P$1401,cleaned_data!$E$2:$E$1401,"Desktop",cleaned_data!$C$2:$C$1401,"Treatment")</f>
        <v>63.2104265402844</v>
      </c>
    </row>
    <row r="19" customFormat="false" ht="15" hidden="false" customHeight="false" outlineLevel="0" collapsed="false">
      <c r="A19" s="7" t="s">
        <v>24</v>
      </c>
      <c r="B19" s="7" t="s">
        <v>17</v>
      </c>
      <c r="C19" s="7" t="n">
        <f aca="false">COUNTIFS(cleaned_data!$E$2:$E$1401,"Mobile",cleaned_data!$C$2:$C$1401,"Control")</f>
        <v>426</v>
      </c>
      <c r="D19" s="13" t="n">
        <f aca="false">AVERAGEIFS(cleaned_data!$K$2:$K$1401,cleaned_data!$E$2:$E$1401,"Mobile",cleaned_data!$C$2:$C$1401,"Control")</f>
        <v>0.0258215962441315</v>
      </c>
      <c r="E19" s="13" t="n">
        <f aca="false">AVERAGEIFS(cleaned_data!$N$2:$N$1401,cleaned_data!$E$2:$E$1401,"Mobile",cleaned_data!$C$2:$C$1401,"Control")</f>
        <v>0</v>
      </c>
      <c r="F19" s="12" t="n">
        <f aca="false">AVERAGEIFS(cleaned_data!$P$2:$P$1401,cleaned_data!$E$2:$E$1401,"Mobile",cleaned_data!$C$2:$C$1401,"Control")</f>
        <v>57.363981042654</v>
      </c>
    </row>
    <row r="20" customFormat="false" ht="15" hidden="false" customHeight="false" outlineLevel="0" collapsed="false">
      <c r="A20" s="7" t="s">
        <v>24</v>
      </c>
      <c r="B20" s="7" t="s">
        <v>723</v>
      </c>
      <c r="C20" s="7" t="n">
        <f aca="false">COUNTIFS(cleaned_data!$E$2:$E$1401,"Mobile",cleaned_data!$C$2:$C$1401,"Treatment")</f>
        <v>432</v>
      </c>
      <c r="D20" s="13" t="n">
        <f aca="false">AVERAGEIFS(cleaned_data!$K$2:$K$1401,cleaned_data!$E$2:$E$1401,"Mobile",cleaned_data!$C$2:$C$1401,"Treatment")</f>
        <v>0.0740740740740741</v>
      </c>
      <c r="E20" s="13" t="n">
        <f aca="false">AVERAGEIFS(cleaned_data!$N$2:$N$1401,cleaned_data!$E$2:$E$1401,"Mobile",cleaned_data!$C$2:$C$1401,"Treatment")</f>
        <v>0.00694444444444444</v>
      </c>
      <c r="F20" s="12" t="n">
        <f aca="false">AVERAGEIFS(cleaned_data!$P$2:$P$1401,cleaned_data!$E$2:$E$1401,"Mobile",cleaned_data!$C$2:$C$1401,"Treatment")</f>
        <v>62.8136150234742</v>
      </c>
    </row>
    <row r="21" customFormat="false" ht="15" hidden="false" customHeight="false" outlineLevel="0" collapsed="false">
      <c r="A21" s="7" t="s">
        <v>34</v>
      </c>
      <c r="B21" s="7" t="s">
        <v>17</v>
      </c>
      <c r="C21" s="7" t="n">
        <f aca="false">COUNTIFS(cleaned_data!$E$2:$E$1401,"Tablet",cleaned_data!$C$2:$C$1401,"Control")</f>
        <v>55</v>
      </c>
      <c r="D21" s="13" t="n">
        <f aca="false">AVERAGEIFS(cleaned_data!$K$2:$K$1401,cleaned_data!$E$2:$E$1401,"Tablet",cleaned_data!$C$2:$C$1401,"Control")</f>
        <v>0.0181818181818182</v>
      </c>
      <c r="E21" s="13" t="n">
        <f aca="false">AVERAGEIFS(cleaned_data!$N$2:$N$1401,cleaned_data!$E$2:$E$1401,"Tablet",cleaned_data!$C$2:$C$1401,"Control")</f>
        <v>0</v>
      </c>
      <c r="F21" s="12" t="n">
        <f aca="false">AVERAGEIFS(cleaned_data!$P$2:$P$1401,cleaned_data!$E$2:$E$1401,"Tablet",cleaned_data!$C$2:$C$1401,"Control")</f>
        <v>55.662962962963</v>
      </c>
    </row>
    <row r="22" customFormat="false" ht="15" hidden="false" customHeight="false" outlineLevel="0" collapsed="false">
      <c r="A22" s="7" t="s">
        <v>34</v>
      </c>
      <c r="B22" s="7" t="s">
        <v>723</v>
      </c>
      <c r="C22" s="7" t="n">
        <f aca="false">COUNTIFS(cleaned_data!$E$2:$E$1401,"Tablet",cleaned_data!$C$2:$C$1401,"Treatment")</f>
        <v>56</v>
      </c>
      <c r="D22" s="13" t="n">
        <f aca="false">AVERAGEIFS(cleaned_data!$K$2:$K$1401,cleaned_data!$E$2:$E$1401,"Tablet",cleaned_data!$C$2:$C$1401,"Treatment")</f>
        <v>0.0714285714285714</v>
      </c>
      <c r="E22" s="13" t="n">
        <f aca="false">AVERAGEIFS(cleaned_data!$N$2:$N$1401,cleaned_data!$E$2:$E$1401,"Tablet",cleaned_data!$C$2:$C$1401,"Treatment")</f>
        <v>0</v>
      </c>
      <c r="F22" s="12" t="n">
        <f aca="false">AVERAGEIFS(cleaned_data!$P$2:$P$1401,cleaned_data!$E$2:$E$1401,"Tablet",cleaned_data!$C$2:$C$1401,"Treatment")</f>
        <v>63.0071428571429</v>
      </c>
    </row>
    <row r="23" customFormat="false" ht="15" hidden="false" customHeight="false" outlineLevel="0" collapsed="false">
      <c r="A23" s="7" t="s">
        <v>1470</v>
      </c>
      <c r="B23" s="7" t="s">
        <v>17</v>
      </c>
      <c r="C23" s="7" t="n">
        <f aca="false">COUNTIFS(cleaned_data!$E$2:$E$1401,"Unknown",cleaned_data!$C$2:$C$1401,"Control")</f>
        <v>9</v>
      </c>
      <c r="D23" s="13" t="n">
        <f aca="false">AVERAGEIFS(cleaned_data!$K$2:$K$1401,cleaned_data!$E$2:$E$1401,"Unknown",cleaned_data!$C$2:$C$1401,"Control")</f>
        <v>0.111111111111111</v>
      </c>
      <c r="E23" s="13" t="n">
        <f aca="false">AVERAGEIFS(cleaned_data!$N$2:$N$1401,cleaned_data!$E$2:$E$1401,"Unknown",cleaned_data!$C$2:$C$1401,"Control")</f>
        <v>0</v>
      </c>
      <c r="F23" s="12" t="n">
        <f aca="false">AVERAGEIFS(cleaned_data!$P$2:$P$1401,cleaned_data!$E$2:$E$1401,"Unknown",cleaned_data!$C$2:$C$1401,"Control")</f>
        <v>45.5</v>
      </c>
    </row>
    <row r="24" customFormat="false" ht="15" hidden="false" customHeight="false" outlineLevel="0" collapsed="false">
      <c r="A24" s="7" t="s">
        <v>1470</v>
      </c>
      <c r="B24" s="7" t="s">
        <v>723</v>
      </c>
      <c r="C24" s="7" t="n">
        <f aca="false">COUNTIFS(cleaned_data!$E$2:$E$1401,"Unknown",cleaned_data!$C$2:$C$1401,"Treatment")</f>
        <v>9</v>
      </c>
      <c r="D24" s="13" t="n">
        <f aca="false">AVERAGEIFS(cleaned_data!$K$2:$K$1401,cleaned_data!$E$2:$E$1401,"Unknown",cleaned_data!$C$2:$C$1401,"Treatment")</f>
        <v>0</v>
      </c>
      <c r="E24" s="13" t="n">
        <f aca="false">AVERAGEIFS(cleaned_data!$N$2:$N$1401,cleaned_data!$E$2:$E$1401,"Unknown",cleaned_data!$C$2:$C$1401,"Treatment")</f>
        <v>0</v>
      </c>
      <c r="F24" s="12" t="n">
        <f aca="false">AVERAGEIFS(cleaned_data!$P$2:$P$1401,cleaned_data!$E$2:$E$1401,"Unknown",cleaned_data!$C$2:$C$1401,"Treatment")</f>
        <v>62.1666666666667</v>
      </c>
    </row>
    <row r="26" customFormat="false" ht="15" hidden="false" customHeight="false" outlineLevel="0" collapsed="false">
      <c r="A26" s="6" t="s">
        <v>1481</v>
      </c>
    </row>
    <row r="27" customFormat="false" ht="23.85" hidden="false" customHeight="false" outlineLevel="0" collapsed="false">
      <c r="A27" s="1" t="s">
        <v>6</v>
      </c>
      <c r="B27" s="1" t="s">
        <v>1500</v>
      </c>
      <c r="C27" s="1" t="s">
        <v>1501</v>
      </c>
      <c r="D27" s="1" t="s">
        <v>1502</v>
      </c>
      <c r="E27" s="1" t="s">
        <v>1503</v>
      </c>
      <c r="F27" s="1" t="s">
        <v>1504</v>
      </c>
    </row>
    <row r="28" customFormat="false" ht="15" hidden="false" customHeight="false" outlineLevel="0" collapsed="false">
      <c r="A28" s="7" t="s">
        <v>21</v>
      </c>
      <c r="B28" s="7" t="s">
        <v>17</v>
      </c>
      <c r="C28" s="7" t="n">
        <f aca="false">COUNTIFS(cleaned_data!$G$2:$G$1401,"Basic",cleaned_data!$C$2:$C$1401,"Control")</f>
        <v>221</v>
      </c>
      <c r="D28" s="13" t="n">
        <f aca="false">AVERAGEIFS(cleaned_data!$K$2:$K$1401,cleaned_data!$G$2:$G$1401,"Basic",cleaned_data!$C$2:$C$1401,"Control")</f>
        <v>0.0361990950226244</v>
      </c>
      <c r="E28" s="13" t="n">
        <f aca="false">AVERAGEIFS(cleaned_data!$N$2:$N$1401,cleaned_data!$G$2:$G$1401,"Basic",cleaned_data!$C$2:$C$1401,"Control")</f>
        <v>0</v>
      </c>
      <c r="F28" s="12" t="n">
        <f aca="false">AVERAGEIFS(cleaned_data!$P$2:$P$1401,cleaned_data!$G$2:$G$1401,"Basic",cleaned_data!$C$2:$C$1401,"Control")</f>
        <v>56.9704545454545</v>
      </c>
    </row>
    <row r="29" customFormat="false" ht="15" hidden="false" customHeight="false" outlineLevel="0" collapsed="false">
      <c r="A29" s="7" t="s">
        <v>21</v>
      </c>
      <c r="B29" s="7" t="s">
        <v>723</v>
      </c>
      <c r="C29" s="7" t="n">
        <f aca="false">COUNTIFS(cleaned_data!$G$2:$G$1401,"Basic",cleaned_data!$C$2:$C$1401,"Treatment")</f>
        <v>232</v>
      </c>
      <c r="D29" s="13" t="n">
        <f aca="false">AVERAGEIFS(cleaned_data!$K$2:$K$1401,cleaned_data!$G$2:$G$1401,"Basic",cleaned_data!$C$2:$C$1401,"Treatment")</f>
        <v>0.0387931034482759</v>
      </c>
      <c r="E29" s="13" t="n">
        <f aca="false">AVERAGEIFS(cleaned_data!$N$2:$N$1401,cleaned_data!$G$2:$G$1401,"Basic",cleaned_data!$C$2:$C$1401,"Treatment")</f>
        <v>0</v>
      </c>
      <c r="F29" s="12" t="n">
        <f aca="false">AVERAGEIFS(cleaned_data!$P$2:$P$1401,cleaned_data!$G$2:$G$1401,"Basic",cleaned_data!$C$2:$C$1401,"Treatment")</f>
        <v>62.9960869565217</v>
      </c>
    </row>
    <row r="30" customFormat="false" ht="15" hidden="false" customHeight="false" outlineLevel="0" collapsed="false">
      <c r="A30" s="7" t="s">
        <v>26</v>
      </c>
      <c r="B30" s="7" t="s">
        <v>17</v>
      </c>
      <c r="C30" s="7" t="n">
        <f aca="false">COUNTIFS(cleaned_data!$G$2:$G$1401,"Free",cleaned_data!$C$2:$C$1401,"Control")</f>
        <v>360</v>
      </c>
      <c r="D30" s="13" t="n">
        <f aca="false">AVERAGEIFS(cleaned_data!$K$2:$K$1401,cleaned_data!$G$2:$G$1401,"Free",cleaned_data!$C$2:$C$1401,"Control")</f>
        <v>0.0305555555555556</v>
      </c>
      <c r="E30" s="13" t="n">
        <f aca="false">AVERAGEIFS(cleaned_data!$N$2:$N$1401,cleaned_data!$G$2:$G$1401,"Free",cleaned_data!$C$2:$C$1401,"Control")</f>
        <v>0</v>
      </c>
      <c r="F30" s="12" t="n">
        <f aca="false">AVERAGEIFS(cleaned_data!$P$2:$P$1401,cleaned_data!$G$2:$G$1401,"Free",cleaned_data!$C$2:$C$1401,"Control")</f>
        <v>57.2571830985916</v>
      </c>
    </row>
    <row r="31" customFormat="false" ht="15" hidden="false" customHeight="false" outlineLevel="0" collapsed="false">
      <c r="A31" s="7" t="s">
        <v>26</v>
      </c>
      <c r="B31" s="7" t="s">
        <v>723</v>
      </c>
      <c r="C31" s="7" t="n">
        <f aca="false">COUNTIFS(cleaned_data!$G$2:$G$1401,"Free",cleaned_data!$C$2:$C$1401,"Treatment")</f>
        <v>366</v>
      </c>
      <c r="D31" s="13" t="n">
        <f aca="false">AVERAGEIFS(cleaned_data!$K$2:$K$1401,cleaned_data!$G$2:$G$1401,"Free",cleaned_data!$C$2:$C$1401,"Treatment")</f>
        <v>0.092896174863388</v>
      </c>
      <c r="E31" s="13" t="n">
        <f aca="false">AVERAGEIFS(cleaned_data!$N$2:$N$1401,cleaned_data!$G$2:$G$1401,"Free",cleaned_data!$C$2:$C$1401,"Treatment")</f>
        <v>0.00546448087431694</v>
      </c>
      <c r="F31" s="12" t="n">
        <f aca="false">AVERAGEIFS(cleaned_data!$P$2:$P$1401,cleaned_data!$G$2:$G$1401,"Free",cleaned_data!$C$2:$C$1401,"Treatment")</f>
        <v>62.2041436464088</v>
      </c>
    </row>
    <row r="32" customFormat="false" ht="15" hidden="false" customHeight="false" outlineLevel="0" collapsed="false">
      <c r="A32" s="7" t="s">
        <v>30</v>
      </c>
      <c r="B32" s="7" t="s">
        <v>17</v>
      </c>
      <c r="C32" s="7" t="n">
        <f aca="false">COUNTIFS(cleaned_data!$G$2:$G$1401,"Premium",cleaned_data!$C$2:$C$1401,"Control")</f>
        <v>109</v>
      </c>
      <c r="D32" s="13" t="n">
        <f aca="false">AVERAGEIFS(cleaned_data!$K$2:$K$1401,cleaned_data!$G$2:$G$1401,"Premium",cleaned_data!$C$2:$C$1401,"Control")</f>
        <v>0.0275229357798165</v>
      </c>
      <c r="E32" s="13" t="n">
        <f aca="false">AVERAGEIFS(cleaned_data!$N$2:$N$1401,cleaned_data!$G$2:$G$1401,"Premium",cleaned_data!$C$2:$C$1401,"Control")</f>
        <v>0</v>
      </c>
      <c r="F32" s="12" t="n">
        <f aca="false">AVERAGEIFS(cleaned_data!$P$2:$P$1401,cleaned_data!$G$2:$G$1401,"Premium",cleaned_data!$C$2:$C$1401,"Control")</f>
        <v>56.4073394495413</v>
      </c>
    </row>
    <row r="33" customFormat="false" ht="15" hidden="false" customHeight="false" outlineLevel="0" collapsed="false">
      <c r="A33" s="7" t="s">
        <v>30</v>
      </c>
      <c r="B33" s="7" t="s">
        <v>723</v>
      </c>
      <c r="C33" s="7" t="n">
        <f aca="false">COUNTIFS(cleaned_data!$G$2:$G$1401,"Premium",cleaned_data!$C$2:$C$1401,"Treatment")</f>
        <v>112</v>
      </c>
      <c r="D33" s="13" t="n">
        <f aca="false">AVERAGEIFS(cleaned_data!$K$2:$K$1401,cleaned_data!$G$2:$G$1401,"Premium",cleaned_data!$C$2:$C$1401,"Treatment")</f>
        <v>0.0625</v>
      </c>
      <c r="E33" s="13" t="n">
        <f aca="false">AVERAGEIFS(cleaned_data!$N$2:$N$1401,cleaned_data!$G$2:$G$1401,"Premium",cleaned_data!$C$2:$C$1401,"Treatment")</f>
        <v>0.00892857142857143</v>
      </c>
      <c r="F33" s="12" t="n">
        <f aca="false">AVERAGEIFS(cleaned_data!$P$2:$P$1401,cleaned_data!$G$2:$G$1401,"Premium",cleaned_data!$C$2:$C$1401,"Treatment")</f>
        <v>65.2445454545455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4" t="s">
        <v>1505</v>
      </c>
    </row>
    <row r="2" customFormat="false" ht="15" hidden="false" customHeight="false" outlineLevel="0" collapsed="false">
      <c r="A2" s="5" t="s">
        <v>1506</v>
      </c>
    </row>
    <row r="4" customFormat="false" ht="15" hidden="false" customHeight="false" outlineLevel="0" collapsed="false">
      <c r="A4" s="6" t="s">
        <v>1507</v>
      </c>
    </row>
    <row r="6" customFormat="false" ht="15" hidden="false" customHeight="false" outlineLevel="0" collapsed="false">
      <c r="A6" s="7" t="s">
        <v>1508</v>
      </c>
      <c r="B6" s="7" t="n">
        <f aca="false">SUMIF(cleaned_data!$C$2:$C$1401,"Control",cleaned_data!$K$2:$K$1401)</f>
        <v>22</v>
      </c>
    </row>
    <row r="7" customFormat="false" ht="15" hidden="false" customHeight="false" outlineLevel="0" collapsed="false">
      <c r="A7" s="7" t="s">
        <v>1509</v>
      </c>
      <c r="B7" s="7" t="n">
        <f aca="false">COUNTIF(cleaned_data!$C$2:$C$1401,"Control")</f>
        <v>690</v>
      </c>
    </row>
    <row r="8" customFormat="false" ht="15" hidden="false" customHeight="false" outlineLevel="0" collapsed="false">
      <c r="A8" s="7" t="s">
        <v>1510</v>
      </c>
      <c r="B8" s="7" t="n">
        <f aca="false">SUMIF(cleaned_data!$C$2:$C$1401,"Treatment",cleaned_data!$K$2:$K$1401)</f>
        <v>50</v>
      </c>
    </row>
    <row r="9" customFormat="false" ht="15" hidden="false" customHeight="false" outlineLevel="0" collapsed="false">
      <c r="A9" s="7" t="s">
        <v>1511</v>
      </c>
      <c r="B9" s="7" t="n">
        <f aca="false">COUNTIF(cleaned_data!$C$2:$C$1401,"Treatment")</f>
        <v>710</v>
      </c>
    </row>
    <row r="10" customFormat="false" ht="15" hidden="false" customHeight="false" outlineLevel="0" collapsed="false">
      <c r="A10" s="7" t="s">
        <v>1512</v>
      </c>
      <c r="B10" s="13" t="n">
        <f aca="false">B6/B7</f>
        <v>0.0318840579710145</v>
      </c>
    </row>
    <row r="11" customFormat="false" ht="15" hidden="false" customHeight="false" outlineLevel="0" collapsed="false">
      <c r="A11" s="7" t="s">
        <v>1513</v>
      </c>
      <c r="B11" s="13" t="n">
        <f aca="false">B8/B9</f>
        <v>0.0704225352112676</v>
      </c>
    </row>
    <row r="12" customFormat="false" ht="15" hidden="false" customHeight="false" outlineLevel="0" collapsed="false">
      <c r="A12" s="7" t="s">
        <v>1514</v>
      </c>
      <c r="B12" s="13" t="n">
        <f aca="false">(B6+B8)/(B7+B9)</f>
        <v>0.0514285714285714</v>
      </c>
    </row>
    <row r="13" customFormat="false" ht="15" hidden="false" customHeight="false" outlineLevel="0" collapsed="false">
      <c r="A13" s="7" t="s">
        <v>1515</v>
      </c>
      <c r="B13" s="7" t="n">
        <f aca="false">SQRT(B12*(1-B12)*(1/B7+1/B9))</f>
        <v>0.0118072170851242</v>
      </c>
    </row>
    <row r="14" customFormat="false" ht="15" hidden="false" customHeight="false" outlineLevel="0" collapsed="false">
      <c r="A14" s="14" t="s">
        <v>1516</v>
      </c>
      <c r="B14" s="14" t="n">
        <f aca="false">(B11-B10)/B13</f>
        <v>3.26397634280878</v>
      </c>
    </row>
    <row r="15" customFormat="false" ht="15" hidden="false" customHeight="false" outlineLevel="0" collapsed="false">
      <c r="A15" s="14" t="s">
        <v>1517</v>
      </c>
      <c r="B15" s="21" t="n">
        <f aca="false">2*(1-_xlfn.NORM.S.DIST(ABS(B14),TRUE()))</f>
        <v>0.00109860338189316</v>
      </c>
    </row>
    <row r="16" customFormat="false" ht="15" hidden="false" customHeight="false" outlineLevel="0" collapsed="false">
      <c r="A16" s="14" t="s">
        <v>1518</v>
      </c>
      <c r="B16" s="14" t="str">
        <f aca="false">IF(B15&lt;0.05,"YES - Significant","No")</f>
        <v>YES - Significant</v>
      </c>
    </row>
    <row r="17" customFormat="false" ht="15" hidden="false" customHeight="false" outlineLevel="0" collapsed="false">
      <c r="A17" s="7" t="s">
        <v>1519</v>
      </c>
      <c r="B17" s="8" t="n">
        <f aca="false">(B11-B10)/B10</f>
        <v>1.20870678617158</v>
      </c>
    </row>
    <row r="19" customFormat="false" ht="15" hidden="false" customHeight="false" outlineLevel="0" collapsed="false">
      <c r="A19" s="6" t="s">
        <v>1520</v>
      </c>
    </row>
    <row r="21" customFormat="false" ht="15" hidden="false" customHeight="false" outlineLevel="0" collapsed="false">
      <c r="A21" s="7" t="s">
        <v>1521</v>
      </c>
      <c r="B21" s="7" t="n">
        <f aca="false">SUMIF(cleaned_data!$C$2:$C$1401,"Control",cleaned_data!$N$2:$N$1401)</f>
        <v>0</v>
      </c>
    </row>
    <row r="22" customFormat="false" ht="15" hidden="false" customHeight="false" outlineLevel="0" collapsed="false">
      <c r="A22" s="7" t="s">
        <v>1509</v>
      </c>
      <c r="B22" s="7" t="n">
        <f aca="false">COUNTIF(cleaned_data!$C$2:$C$1401,"Control")</f>
        <v>690</v>
      </c>
    </row>
    <row r="23" customFormat="false" ht="15" hidden="false" customHeight="false" outlineLevel="0" collapsed="false">
      <c r="A23" s="7" t="s">
        <v>1522</v>
      </c>
      <c r="B23" s="7" t="n">
        <f aca="false">SUMIF(cleaned_data!$C$2:$C$1401,"Treatment",cleaned_data!$N$2:$N$1401)</f>
        <v>3</v>
      </c>
    </row>
    <row r="24" customFormat="false" ht="15" hidden="false" customHeight="false" outlineLevel="0" collapsed="false">
      <c r="A24" s="7" t="s">
        <v>1511</v>
      </c>
      <c r="B24" s="7" t="n">
        <f aca="false">COUNTIF(cleaned_data!$C$2:$C$1401,"Treatment")</f>
        <v>710</v>
      </c>
    </row>
    <row r="25" customFormat="false" ht="15" hidden="false" customHeight="false" outlineLevel="0" collapsed="false">
      <c r="A25" s="7" t="s">
        <v>1523</v>
      </c>
      <c r="B25" s="13" t="n">
        <f aca="false">B21/B22</f>
        <v>0</v>
      </c>
    </row>
    <row r="26" customFormat="false" ht="15" hidden="false" customHeight="false" outlineLevel="0" collapsed="false">
      <c r="A26" s="7" t="s">
        <v>1524</v>
      </c>
      <c r="B26" s="13" t="n">
        <f aca="false">B23/B24</f>
        <v>0.00422535211267606</v>
      </c>
    </row>
    <row r="27" customFormat="false" ht="15" hidden="false" customHeight="false" outlineLevel="0" collapsed="false">
      <c r="A27" s="7" t="s">
        <v>1514</v>
      </c>
      <c r="B27" s="13" t="n">
        <f aca="false">(B21+B23)/(B22+B24)</f>
        <v>0.00214285714285714</v>
      </c>
    </row>
    <row r="28" customFormat="false" ht="15" hidden="false" customHeight="false" outlineLevel="0" collapsed="false">
      <c r="A28" s="7" t="s">
        <v>1515</v>
      </c>
      <c r="B28" s="7" t="n">
        <f aca="false">SQRT(B27*(1-B27)*(1/B22+1/B24))</f>
        <v>0.00247195803008328</v>
      </c>
    </row>
    <row r="29" customFormat="false" ht="15" hidden="false" customHeight="false" outlineLevel="0" collapsed="false">
      <c r="A29" s="22" t="s">
        <v>1516</v>
      </c>
      <c r="B29" s="22" t="n">
        <f aca="false">IF(B28=0,"n/a",(B26-B25)/B28)</f>
        <v>1.70931385616353</v>
      </c>
    </row>
    <row r="30" customFormat="false" ht="15" hidden="false" customHeight="false" outlineLevel="0" collapsed="false">
      <c r="A30" s="22" t="s">
        <v>1517</v>
      </c>
      <c r="B30" s="23" t="n">
        <f aca="false">IF(ISNUMBER(B29),2*(1-_xlfn.NORM.S.DIST(ABS(B29),TRUE())),"n/a")</f>
        <v>0.087392828031071</v>
      </c>
    </row>
    <row r="31" customFormat="false" ht="15" hidden="false" customHeight="false" outlineLevel="0" collapsed="false">
      <c r="A31" s="22" t="s">
        <v>1518</v>
      </c>
      <c r="B31" s="22" t="str">
        <f aca="false">IF(ISNUMBER(B30),IF(B30&lt;0.05,"YES - Significant","No"),"n/a")</f>
        <v>No</v>
      </c>
    </row>
    <row r="33" customFormat="false" ht="15" hidden="false" customHeight="false" outlineLevel="0" collapsed="false">
      <c r="A33" s="6" t="s">
        <v>1525</v>
      </c>
    </row>
    <row r="35" customFormat="false" ht="15" hidden="false" customHeight="false" outlineLevel="0" collapsed="false">
      <c r="A35" s="7" t="s">
        <v>1526</v>
      </c>
      <c r="B35" s="7" t="n">
        <f aca="false">COUNTIFS(cleaned_data!$C$2:$C$1401,"Control",cleaned_data!$M$2:$M$1401,"&gt;0")</f>
        <v>102</v>
      </c>
    </row>
    <row r="36" customFormat="false" ht="15" hidden="false" customHeight="false" outlineLevel="0" collapsed="false">
      <c r="A36" s="7" t="s">
        <v>1509</v>
      </c>
      <c r="B36" s="7" t="n">
        <f aca="false">COUNTIF(cleaned_data!$C$2:$C$1401,"Control")</f>
        <v>690</v>
      </c>
    </row>
    <row r="37" customFormat="false" ht="15" hidden="false" customHeight="false" outlineLevel="0" collapsed="false">
      <c r="A37" s="7" t="s">
        <v>1527</v>
      </c>
      <c r="B37" s="7" t="n">
        <f aca="false">COUNTIFS(cleaned_data!$C$2:$C$1401,"Treatment",cleaned_data!$M$2:$M$1401,"&gt;0")</f>
        <v>176</v>
      </c>
    </row>
    <row r="38" customFormat="false" ht="15" hidden="false" customHeight="false" outlineLevel="0" collapsed="false">
      <c r="A38" s="7" t="s">
        <v>1511</v>
      </c>
      <c r="B38" s="7" t="n">
        <f aca="false">COUNTIF(cleaned_data!$C$2:$C$1401,"Treatment")</f>
        <v>710</v>
      </c>
    </row>
    <row r="39" customFormat="false" ht="15" hidden="false" customHeight="false" outlineLevel="0" collapsed="false">
      <c r="A39" s="7" t="s">
        <v>1523</v>
      </c>
      <c r="B39" s="13" t="n">
        <f aca="false">B35/B36</f>
        <v>0.147826086956522</v>
      </c>
    </row>
    <row r="40" customFormat="false" ht="15" hidden="false" customHeight="false" outlineLevel="0" collapsed="false">
      <c r="A40" s="7" t="s">
        <v>1524</v>
      </c>
      <c r="B40" s="13" t="n">
        <f aca="false">B37/B38</f>
        <v>0.247887323943662</v>
      </c>
    </row>
    <row r="41" customFormat="false" ht="15" hidden="false" customHeight="false" outlineLevel="0" collapsed="false">
      <c r="A41" s="7" t="s">
        <v>1514</v>
      </c>
      <c r="B41" s="13" t="n">
        <f aca="false">(B35+B37)/(B36+B38)</f>
        <v>0.198571428571429</v>
      </c>
    </row>
    <row r="42" customFormat="false" ht="15" hidden="false" customHeight="false" outlineLevel="0" collapsed="false">
      <c r="A42" s="7" t="s">
        <v>1515</v>
      </c>
      <c r="B42" s="7" t="n">
        <f aca="false">SQRT(B41*(1-B41)*(1/B36+1/B38))</f>
        <v>0.0213255916463635</v>
      </c>
    </row>
    <row r="43" customFormat="false" ht="15" hidden="false" customHeight="false" outlineLevel="0" collapsed="false">
      <c r="A43" s="22" t="s">
        <v>1516</v>
      </c>
      <c r="B43" s="22" t="n">
        <f aca="false">(B40-B39)/B42</f>
        <v>4.69207319761293</v>
      </c>
    </row>
    <row r="44" customFormat="false" ht="15" hidden="false" customHeight="false" outlineLevel="0" collapsed="false">
      <c r="A44" s="22" t="s">
        <v>1517</v>
      </c>
      <c r="B44" s="23" t="n">
        <f aca="false">2*(1-_xlfn.NORM.S.DIST(ABS(B43),TRUE()))</f>
        <v>2.70450323291982E-006</v>
      </c>
    </row>
    <row r="45" customFormat="false" ht="15" hidden="false" customHeight="false" outlineLevel="0" collapsed="false">
      <c r="A45" s="22" t="s">
        <v>1518</v>
      </c>
      <c r="B45" s="22" t="str">
        <f aca="false">IF(B44&lt;0.05,"YES - Significant","No")</f>
        <v>YES - Significant</v>
      </c>
    </row>
    <row r="47" customFormat="false" ht="15" hidden="false" customHeight="false" outlineLevel="0" collapsed="false">
      <c r="A47" s="6" t="s">
        <v>1528</v>
      </c>
    </row>
    <row r="48" customFormat="false" ht="15" hidden="false" customHeight="false" outlineLevel="0" collapsed="false">
      <c r="A48" s="7" t="s">
        <v>1529</v>
      </c>
      <c r="B48" s="7" t="n">
        <f aca="false">AVERAGEIF(cleaned_data!$C$2:$C$1401,"Control",cleaned_data!$P$2:$P$1401)</f>
        <v>57.0295321637427</v>
      </c>
    </row>
    <row r="49" customFormat="false" ht="15" hidden="false" customHeight="false" outlineLevel="0" collapsed="false">
      <c r="A49" s="7" t="s">
        <v>1530</v>
      </c>
      <c r="B49" s="7" t="n">
        <f aca="false">AVERAGEIF(cleaned_data!$C$2:$C$1401,"Treatment",cleaned_data!$P$2:$P$1401)</f>
        <v>62.9400284900285</v>
      </c>
    </row>
    <row r="50" customFormat="false" ht="15" hidden="false" customHeight="false" outlineLevel="0" collapsed="false">
      <c r="A50" s="14" t="s">
        <v>1531</v>
      </c>
      <c r="B50" s="21" t="n">
        <f aca="false">_xlfn.T.TEST(cleaned_data!$Q$2:$Q$1401,cleaned_data!$R$2:$R$1401,2,3)</f>
        <v>4.5463657894945E-015</v>
      </c>
    </row>
    <row r="51" customFormat="false" ht="15" hidden="false" customHeight="false" outlineLevel="0" collapsed="false">
      <c r="A51" s="14" t="s">
        <v>1518</v>
      </c>
      <c r="B51" s="14" t="str">
        <f aca="false">IF(B50&lt;0.05,"YES - Significant","No")</f>
        <v>YES - Significant</v>
      </c>
    </row>
    <row r="53" customFormat="false" ht="15" hidden="false" customHeight="false" outlineLevel="0" collapsed="false">
      <c r="A53" s="6" t="s">
        <v>1532</v>
      </c>
    </row>
    <row r="54" customFormat="false" ht="15" hidden="false" customHeight="false" outlineLevel="0" collapsed="false">
      <c r="A54" s="7" t="s">
        <v>1533</v>
      </c>
      <c r="B54" s="17" t="n">
        <f aca="false">AVERAGEIFS(cleaned_data!$L$2:$L$1401,cleaned_data!$C$2:$C$1401,"Control",cleaned_data!$K$2:$K$1401,1)</f>
        <v>1630.10363636364</v>
      </c>
    </row>
    <row r="55" customFormat="false" ht="15" hidden="false" customHeight="false" outlineLevel="0" collapsed="false">
      <c r="A55" s="7" t="s">
        <v>1534</v>
      </c>
      <c r="B55" s="17" t="n">
        <f aca="false">AVERAGEIFS(cleaned_data!$L$2:$L$1401,cleaned_data!$C$2:$C$1401,"Treatment",cleaned_data!$K$2:$K$1401,1)</f>
        <v>770.4142</v>
      </c>
    </row>
    <row r="56" customFormat="false" ht="15" hidden="false" customHeight="false" outlineLevel="0" collapsed="false">
      <c r="A56" s="22" t="s">
        <v>1535</v>
      </c>
      <c r="B56" s="23" t="n">
        <f aca="false">_xlfn.T.TEST(cleaned_data!$S$2:$S$1401,cleaned_data!$T$2:$T$1401,2,3)</f>
        <v>0.0791092322031511</v>
      </c>
    </row>
    <row r="57" customFormat="false" ht="15" hidden="false" customHeight="false" outlineLevel="0" collapsed="false">
      <c r="A57" s="22" t="s">
        <v>1518</v>
      </c>
      <c r="B57" s="22" t="str">
        <f aca="false">IF(B56&lt;0.05,"YES - Significant","No")</f>
        <v>No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2026-06-18T01:25:33Z</dcterms:created>
  <dc:creator>openpyxl</dc:creator>
  <dc:description/>
  <dc:language>en-US</dc:language>
  <cp:lastModifiedBy/>
  <dcterms:modified xsi:type="dcterms:W3CDTF">2026-06-18T01:25:39Z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